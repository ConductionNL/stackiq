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3_ncr:1_{3CAEA186-9AA1-40C3-AE4A-D564E2BAA450}" xr6:coauthVersionLast="47" xr6:coauthVersionMax="47" xr10:uidLastSave="{00000000-0000-0000-0000-000000000000}"/>
  <bookViews>
    <workbookView xWindow="51480" yWindow="5280" windowWidth="29040" windowHeight="15840" tabRatio="594" firstSheet="1" xr2:uid="{00000000-000D-0000-FFFF-FFFF00000000}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definedNames>
    <definedName name="_xlnm._FilterDatabase" localSheetId="7" hidden="1">Behandelgroepen!$A$1:$E$1</definedName>
    <definedName name="_xlnm._FilterDatabase" localSheetId="3" hidden="1">'Beheerde Applicaties CMDB'!$A$1:$AP$1066</definedName>
    <definedName name="_xlnm._FilterDatabase" localSheetId="8" hidden="1">Blad3!$A$1:$A$128</definedName>
    <definedName name="_xlnm._FilterDatabase" localSheetId="5" hidden="1">'Gearchiveerde Applicaties'!$A$1:$I$434</definedName>
    <definedName name="_xlnm._FilterDatabase" localSheetId="0" hidden="1">'Invoer AIA data'!$A$1:$BB$1</definedName>
    <definedName name="_xlnm._FilterDatabase" localSheetId="2" hidden="1">'Invoer APP data'!$A$1:$CD$1</definedName>
    <definedName name="_xlnm._FilterDatabase" localSheetId="4" hidden="1">'Invoer gearchiveerde appl'!$A$1:$CO$1</definedName>
    <definedName name="_xlnm._FilterDatabase" localSheetId="1" hidden="1">'Onbeh Applicaties CMDB'!$A$1:$AH$98</definedName>
    <definedName name="_xlnm._FilterDatabase" localSheetId="9" hidden="1">Origineel!$A$2:$AA$2</definedName>
    <definedName name="_xlnm._FilterDatabase" localSheetId="6" hidden="1">'Relatie APP oplosgroepen'!$B$2:$APJ$2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<sst xmlns="http://schemas.openxmlformats.org/spreadsheetml/2006/main" count="607" uniqueCount="224">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</sst>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FAE6-2986-4F38-9797-2552E7727FDA}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 xr:uid="{6C8FFAE6-2986-4F38-9797-2552E7727FDA}"/>
  <hyperlinks>
    <hyperlink ref="J2" r:id="rId1" display="mailto:letter.achternaam@gemeente.nl" xr:uid="{92E263F2-1000-4547-B807-F14BED24D8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6ADF-A76E-483E-B515-1BC07834D443}">
  <dimension ref="A1:AI100"/>
  <sheetViews>
    <sheetView workbookViewId="0">
      <selection activeCell="C4" sqref="C4"/>
    </sheetView>
  </sheetViews>
  <sheetFormatPr defaultRowHeight="15" x14ac:dyDescent="0.25"/>
  <cols>
    <col min="1" max="1" width="29.85546875" style="17" bestFit="1" customWidth="1"/>
    <col min="2" max="2" width="6.42578125" style="17" bestFit="1" customWidth="1"/>
    <col min="3" max="3" width="33.85546875" style="17" bestFit="1" customWidth="1"/>
    <col min="4" max="4" width="77.140625" style="17" bestFit="1" customWidth="1"/>
    <col min="5" max="5" width="51.5703125" style="17" bestFit="1" customWidth="1"/>
    <col min="6" max="6" width="24.42578125" style="17" bestFit="1" customWidth="1"/>
    <col min="7" max="7" width="19.5703125" style="17" customWidth="1"/>
    <col min="8" max="8" width="17.85546875" style="17" bestFit="1" customWidth="1"/>
    <col min="9" max="9" width="22.28515625" style="18" bestFit="1" customWidth="1"/>
    <col min="10" max="10" width="47.42578125" style="17" bestFit="1" customWidth="1"/>
    <col min="11" max="12" width="47.42578125" style="17" customWidth="1"/>
    <col min="13" max="13" width="15.7109375" style="17" bestFit="1" customWidth="1"/>
    <col min="14" max="14" width="12" style="17" bestFit="1" customWidth="1"/>
    <col min="15" max="15" width="20.140625" style="17" bestFit="1" customWidth="1"/>
    <col min="16" max="16" width="17.5703125" style="17" bestFit="1" customWidth="1"/>
    <col min="17" max="17" width="42.7109375" style="17" bestFit="1" customWidth="1"/>
    <col min="18" max="18" width="20.7109375" style="17" bestFit="1" customWidth="1"/>
    <col min="19" max="19" width="23.28515625" style="17" bestFit="1" customWidth="1"/>
    <col min="20" max="20" width="15" style="17" bestFit="1" customWidth="1"/>
    <col min="21" max="21" width="43.7109375" style="17" bestFit="1" customWidth="1"/>
    <col min="22" max="22" width="8.42578125" style="17" bestFit="1" customWidth="1"/>
    <col min="23" max="23" width="12" style="18" bestFit="1" customWidth="1"/>
    <col min="24" max="24" width="124.42578125" style="17" customWidth="1"/>
    <col min="25" max="25" width="15.42578125" style="18" bestFit="1" customWidth="1"/>
    <col min="26" max="26" width="7.28515625" style="17" bestFit="1" customWidth="1"/>
    <col min="27" max="27" width="6.140625" style="17" bestFit="1" customWidth="1"/>
    <col min="28" max="28" width="12.42578125" style="17" bestFit="1" customWidth="1"/>
    <col min="29" max="29" width="28.85546875" style="17" bestFit="1" customWidth="1"/>
    <col min="30" max="30" width="12.85546875" style="18" bestFit="1" customWidth="1"/>
    <col min="31" max="31" width="12.42578125" style="17" bestFit="1" customWidth="1"/>
    <col min="32" max="32" width="27.85546875" style="17" bestFit="1" customWidth="1"/>
    <col min="33" max="33" width="9.140625" style="17"/>
    <col min="34" max="34" width="15.85546875" style="17" bestFit="1" customWidth="1"/>
    <col min="35" max="16384" width="9.140625" style="17"/>
  </cols>
  <sheetData>
    <row r="1" spans="1:3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72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152</v>
      </c>
      <c r="K1" s="17" t="s">
        <v>153</v>
      </c>
      <c r="L1" s="17" t="s">
        <v>154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100</v>
      </c>
      <c r="R1" s="17" t="s">
        <v>15</v>
      </c>
      <c r="S1" s="17" t="s">
        <v>16</v>
      </c>
      <c r="T1" s="17" t="s">
        <v>17</v>
      </c>
      <c r="U1" s="17" t="s">
        <v>20</v>
      </c>
      <c r="V1" s="17" t="s">
        <v>96</v>
      </c>
      <c r="W1" s="18" t="s">
        <v>97</v>
      </c>
      <c r="X1" s="17" t="s">
        <v>101</v>
      </c>
      <c r="Y1" s="18" t="s">
        <v>102</v>
      </c>
      <c r="Z1" s="17" t="s">
        <v>103</v>
      </c>
      <c r="AA1" s="17" t="s">
        <v>105</v>
      </c>
      <c r="AB1" s="17" t="s">
        <v>104</v>
      </c>
      <c r="AC1" s="17" t="s">
        <v>119</v>
      </c>
      <c r="AD1" s="18" t="s">
        <v>136</v>
      </c>
      <c r="AE1" s="17" t="s">
        <v>137</v>
      </c>
      <c r="AF1" s="17" t="s">
        <v>143</v>
      </c>
      <c r="AG1" s="17" t="s">
        <v>145</v>
      </c>
      <c r="AH1" s="17" t="s">
        <v>146</v>
      </c>
      <c r="AI1" s="17" t="s">
        <v>190</v>
      </c>
    </row>
    <row r="2" spans="1:35" x14ac:dyDescent="0.25">
      <c r="A2" s="17" t="str">
        <f>RIGHT('Invoer AIA data'!B2,LEN('Invoer AIA data'!B2)-4)</f>
        <v>AangetekendMailen</v>
      </c>
      <c r="B2" s="17">
        <f>_xlfn.NUMBERVALUE('Invoer AIA data'!X2)</f>
        <v>1234</v>
      </c>
      <c r="C2" s="22" t="str">
        <f>'Invoer AIA data'!B2</f>
        <v>AIA-AangetekendMailen</v>
      </c>
      <c r="D2" s="17" t="str">
        <f>'Invoer AIA data'!AL2</f>
        <v>Aangetekend Mailen</v>
      </c>
      <c r="E2" s="17" t="str">
        <f>'Invoer AIA data'!W2</f>
        <v/>
      </c>
      <c r="F2" s="17" t="str">
        <f>'Invoer AIA data'!AU2</f>
        <v>In voorraad</v>
      </c>
      <c r="H2" s="17" t="str">
        <f>'Invoer AIA data'!Y2</f>
        <v>Webapplicatie</v>
      </c>
      <c r="I2" s="18">
        <f>IF('Invoer AIA data'!O2="",49675,'Invoer AIA data'!O2)</f>
        <v>49675</v>
      </c>
      <c r="J2" s="17" t="str">
        <f>IF('Invoer AIA data'!H2&lt;&gt;"",'Invoer AIA data'!H2,'Invoer AIA data'!G2)</f>
        <v>H10 Accounting</v>
      </c>
      <c r="K2" s="17" t="str">
        <f>'Invoer AIA data'!K2</f>
        <v>Afdelingshoofd</v>
      </c>
      <c r="L2" s="31" t="s">
        <v>214</v>
      </c>
      <c r="M2" s="17" t="str">
        <f>IF('Invoer AIA data'!Z2 = "","Niet bekend",MID('Invoer AIA data'!Z2,5,25))</f>
        <v>Niet bekend</v>
      </c>
      <c r="N2" s="17" t="str">
        <f>IF('Invoer AIA data'!AI2 = "","Niet bekend",MID('Invoer AIA data'!AI2,5,25))</f>
        <v>Niet bekend</v>
      </c>
      <c r="O2" s="17" t="str">
        <f>IF('Invoer AIA data'!AQ2 = "","Niet bekend",MID('Invoer AIA data'!AQ2,5,25))</f>
        <v>Niet bekend</v>
      </c>
      <c r="U2" s="17" t="str">
        <f>'Invoer AIA data'!AK2</f>
        <v>Aangetekend B.V.</v>
      </c>
      <c r="V2" s="17" t="s">
        <v>52</v>
      </c>
      <c r="W2" s="18">
        <f>'Invoer AIA data'!D2</f>
        <v>45111.380322627316</v>
      </c>
      <c r="X2" s="17" t="s">
        <v>222</v>
      </c>
      <c r="Y2" s="18">
        <f t="shared" ref="Y2" ca="1" si="0">TODAY()</f>
        <v>46296</v>
      </c>
      <c r="Z2" s="17" t="str">
        <f>LEFT('Invoer AIA data'!G2,3)</f>
        <v>H10</v>
      </c>
      <c r="AA2" s="17" t="str">
        <f>IF('Invoer AIA data'!Y2="Saas","Ja","Nee")</f>
        <v>Nee</v>
      </c>
      <c r="AB2" s="17" t="str">
        <f>'Invoer AIA data'!AH2</f>
        <v xml:space="preserve">Aangetekend B.V. </v>
      </c>
      <c r="AC2" s="17">
        <f>B2</f>
        <v>1234</v>
      </c>
      <c r="AD2" s="18">
        <f>IF('Invoer AIA data'!AM2 = "",73050,'Invoer AIA data'!AM2)</f>
        <v>73050</v>
      </c>
      <c r="AE2" s="17" t="str">
        <f>'Invoer AIA data'!AN2</f>
        <v/>
      </c>
      <c r="AF2" s="18">
        <f>'Invoer AIA data'!E2</f>
        <v>46232.552113113423</v>
      </c>
      <c r="AG2" s="17" t="str">
        <f>IF('Invoer AIA data'!AC2="","NB",'Invoer AIA data'!AC2)</f>
        <v>NB</v>
      </c>
      <c r="AH2" s="17" t="str">
        <f>'Invoer AIA data'!AJ2</f>
        <v/>
      </c>
      <c r="AI2" s="17" t="str">
        <f>'Invoer AIA data'!AO2</f>
        <v/>
      </c>
    </row>
    <row r="3" spans="1:35" x14ac:dyDescent="0.25">
      <c r="C3" s="22"/>
      <c r="AF3" s="18"/>
    </row>
    <row r="4" spans="1:35" x14ac:dyDescent="0.25">
      <c r="C4" s="22"/>
      <c r="AF4" s="18"/>
    </row>
    <row r="5" spans="1:35" x14ac:dyDescent="0.25">
      <c r="C5" s="22"/>
      <c r="AF5" s="18"/>
    </row>
    <row r="6" spans="1:35" x14ac:dyDescent="0.25">
      <c r="C6" s="22"/>
      <c r="AF6" s="18"/>
    </row>
    <row r="7" spans="1:35" x14ac:dyDescent="0.25">
      <c r="C7" s="22"/>
      <c r="AF7" s="18"/>
    </row>
    <row r="8" spans="1:35" x14ac:dyDescent="0.25">
      <c r="C8" s="22"/>
      <c r="AF8" s="18"/>
    </row>
    <row r="9" spans="1:35" x14ac:dyDescent="0.25">
      <c r="C9" s="22"/>
      <c r="AF9" s="18"/>
    </row>
    <row r="10" spans="1:35" x14ac:dyDescent="0.25">
      <c r="C10" s="22"/>
      <c r="AF10" s="18"/>
    </row>
    <row r="11" spans="1:35" x14ac:dyDescent="0.25">
      <c r="C11" s="22"/>
      <c r="AF11" s="18"/>
    </row>
    <row r="12" spans="1:35" x14ac:dyDescent="0.25">
      <c r="C12" s="22"/>
      <c r="AF12" s="18"/>
    </row>
    <row r="13" spans="1:35" x14ac:dyDescent="0.25">
      <c r="C13" s="22"/>
      <c r="AF13" s="18"/>
    </row>
    <row r="14" spans="1:35" x14ac:dyDescent="0.25">
      <c r="C14" s="22"/>
      <c r="AF14" s="18"/>
    </row>
    <row r="15" spans="1:35" x14ac:dyDescent="0.25">
      <c r="C15" s="22"/>
      <c r="AF15" s="18"/>
    </row>
    <row r="16" spans="1:35" x14ac:dyDescent="0.25">
      <c r="C16" s="22"/>
      <c r="AF16" s="18"/>
    </row>
    <row r="17" spans="3:32" x14ac:dyDescent="0.25">
      <c r="C17" s="22"/>
      <c r="AF17" s="18"/>
    </row>
    <row r="18" spans="3:32" x14ac:dyDescent="0.25">
      <c r="C18" s="22"/>
      <c r="AF18" s="18"/>
    </row>
    <row r="19" spans="3:32" x14ac:dyDescent="0.25">
      <c r="C19" s="22"/>
      <c r="AF19" s="18"/>
    </row>
    <row r="20" spans="3:32" x14ac:dyDescent="0.25">
      <c r="C20" s="22"/>
      <c r="AF20" s="18"/>
    </row>
    <row r="21" spans="3:32" x14ac:dyDescent="0.25">
      <c r="C21" s="22"/>
      <c r="AF21" s="18"/>
    </row>
    <row r="22" spans="3:32" x14ac:dyDescent="0.25">
      <c r="C22" s="22"/>
      <c r="AF22" s="18"/>
    </row>
    <row r="23" spans="3:32" x14ac:dyDescent="0.25">
      <c r="C23" s="22"/>
      <c r="AF23" s="18"/>
    </row>
    <row r="24" spans="3:32" x14ac:dyDescent="0.25">
      <c r="C24" s="22"/>
      <c r="AF24" s="18"/>
    </row>
    <row r="25" spans="3:32" x14ac:dyDescent="0.25">
      <c r="C25" s="22"/>
      <c r="AF25" s="18"/>
    </row>
    <row r="26" spans="3:32" x14ac:dyDescent="0.25">
      <c r="C26" s="22"/>
      <c r="AF26" s="18"/>
    </row>
    <row r="27" spans="3:32" x14ac:dyDescent="0.25">
      <c r="C27" s="22"/>
      <c r="AF27" s="18"/>
    </row>
    <row r="28" spans="3:32" x14ac:dyDescent="0.25">
      <c r="C28" s="22"/>
      <c r="AF28" s="18"/>
    </row>
    <row r="29" spans="3:32" x14ac:dyDescent="0.25">
      <c r="C29" s="22"/>
      <c r="AF29" s="18"/>
    </row>
    <row r="30" spans="3:32" x14ac:dyDescent="0.25">
      <c r="C30" s="22"/>
      <c r="AF30" s="18"/>
    </row>
    <row r="31" spans="3:32" x14ac:dyDescent="0.25">
      <c r="C31" s="22"/>
      <c r="AF31" s="18"/>
    </row>
    <row r="32" spans="3:32" x14ac:dyDescent="0.25">
      <c r="C32" s="22"/>
      <c r="AF32" s="18"/>
    </row>
    <row r="33" spans="3:32" x14ac:dyDescent="0.25">
      <c r="C33" s="22"/>
      <c r="AF33" s="18"/>
    </row>
    <row r="34" spans="3:32" x14ac:dyDescent="0.25">
      <c r="C34" s="22"/>
      <c r="AF34" s="18"/>
    </row>
    <row r="35" spans="3:32" x14ac:dyDescent="0.25">
      <c r="C35" s="22"/>
      <c r="AF35" s="18"/>
    </row>
    <row r="36" spans="3:32" x14ac:dyDescent="0.25">
      <c r="C36" s="22"/>
      <c r="AF36" s="18"/>
    </row>
    <row r="37" spans="3:32" x14ac:dyDescent="0.25">
      <c r="C37" s="22"/>
      <c r="AF37" s="18"/>
    </row>
    <row r="38" spans="3:32" x14ac:dyDescent="0.25">
      <c r="C38" s="22"/>
      <c r="AF38" s="18"/>
    </row>
    <row r="39" spans="3:32" x14ac:dyDescent="0.25">
      <c r="C39" s="22"/>
      <c r="AF39" s="18"/>
    </row>
    <row r="40" spans="3:32" x14ac:dyDescent="0.25">
      <c r="C40" s="22"/>
      <c r="AF40" s="18"/>
    </row>
    <row r="41" spans="3:32" x14ac:dyDescent="0.25">
      <c r="C41" s="22"/>
      <c r="AF41" s="18"/>
    </row>
    <row r="42" spans="3:32" x14ac:dyDescent="0.25">
      <c r="C42" s="22"/>
      <c r="AF42" s="18"/>
    </row>
    <row r="43" spans="3:32" x14ac:dyDescent="0.25">
      <c r="C43" s="22"/>
      <c r="AF43" s="18"/>
    </row>
    <row r="44" spans="3:32" x14ac:dyDescent="0.25">
      <c r="C44" s="22"/>
      <c r="AF44" s="18"/>
    </row>
    <row r="45" spans="3:32" x14ac:dyDescent="0.25">
      <c r="C45" s="22"/>
      <c r="AF45" s="18"/>
    </row>
    <row r="46" spans="3:32" x14ac:dyDescent="0.25">
      <c r="C46" s="22"/>
      <c r="AF46" s="18"/>
    </row>
    <row r="47" spans="3:32" x14ac:dyDescent="0.25">
      <c r="C47" s="22"/>
      <c r="AF47" s="18"/>
    </row>
    <row r="48" spans="3:32" x14ac:dyDescent="0.25">
      <c r="C48" s="22"/>
      <c r="AF48" s="18"/>
    </row>
    <row r="49" spans="3:32" x14ac:dyDescent="0.25">
      <c r="C49" s="22"/>
      <c r="AF49" s="18"/>
    </row>
    <row r="50" spans="3:32" x14ac:dyDescent="0.25">
      <c r="C50" s="22"/>
      <c r="AF50" s="18"/>
    </row>
    <row r="51" spans="3:32" x14ac:dyDescent="0.25">
      <c r="C51" s="22"/>
      <c r="AF51" s="18"/>
    </row>
    <row r="52" spans="3:32" x14ac:dyDescent="0.25">
      <c r="C52" s="22"/>
      <c r="AF52" s="18"/>
    </row>
    <row r="53" spans="3:32" x14ac:dyDescent="0.25">
      <c r="C53" s="22"/>
      <c r="AF53" s="18"/>
    </row>
    <row r="54" spans="3:32" x14ac:dyDescent="0.25">
      <c r="C54" s="22"/>
      <c r="AF54" s="18"/>
    </row>
    <row r="55" spans="3:32" x14ac:dyDescent="0.25">
      <c r="C55" s="22"/>
      <c r="AF55" s="18"/>
    </row>
    <row r="56" spans="3:32" x14ac:dyDescent="0.25">
      <c r="C56" s="22"/>
      <c r="AF56" s="18"/>
    </row>
    <row r="57" spans="3:32" x14ac:dyDescent="0.25">
      <c r="C57" s="22"/>
      <c r="AF57" s="18"/>
    </row>
    <row r="58" spans="3:32" x14ac:dyDescent="0.25">
      <c r="C58" s="22"/>
      <c r="AF58" s="18"/>
    </row>
    <row r="59" spans="3:32" x14ac:dyDescent="0.25">
      <c r="C59" s="22"/>
      <c r="AF59" s="18"/>
    </row>
    <row r="60" spans="3:32" x14ac:dyDescent="0.25">
      <c r="C60" s="22"/>
      <c r="AF60" s="18"/>
    </row>
    <row r="61" spans="3:32" x14ac:dyDescent="0.25">
      <c r="C61" s="22"/>
      <c r="AF61" s="18"/>
    </row>
    <row r="62" spans="3:32" x14ac:dyDescent="0.25">
      <c r="C62" s="22"/>
      <c r="AF62" s="18"/>
    </row>
    <row r="63" spans="3:32" x14ac:dyDescent="0.25">
      <c r="C63" s="22"/>
      <c r="AF63" s="18"/>
    </row>
    <row r="64" spans="3:32" x14ac:dyDescent="0.25">
      <c r="C64" s="22"/>
      <c r="AF64" s="18"/>
    </row>
    <row r="65" spans="3:32" x14ac:dyDescent="0.25">
      <c r="C65" s="22"/>
      <c r="AF65" s="18"/>
    </row>
    <row r="66" spans="3:32" x14ac:dyDescent="0.25">
      <c r="C66" s="22"/>
      <c r="AF66" s="18"/>
    </row>
    <row r="67" spans="3:32" x14ac:dyDescent="0.25">
      <c r="C67" s="22"/>
      <c r="AF67" s="18"/>
    </row>
    <row r="68" spans="3:32" x14ac:dyDescent="0.25">
      <c r="C68" s="22"/>
      <c r="AF68" s="18"/>
    </row>
    <row r="69" spans="3:32" x14ac:dyDescent="0.25">
      <c r="C69" s="22"/>
      <c r="AF69" s="18"/>
    </row>
    <row r="70" spans="3:32" x14ac:dyDescent="0.25">
      <c r="C70" s="22"/>
      <c r="AF70" s="18"/>
    </row>
    <row r="71" spans="3:32" x14ac:dyDescent="0.25">
      <c r="C71" s="22"/>
      <c r="AF71" s="18"/>
    </row>
    <row r="72" spans="3:32" x14ac:dyDescent="0.25">
      <c r="C72" s="22"/>
      <c r="AF72" s="18"/>
    </row>
    <row r="73" spans="3:32" x14ac:dyDescent="0.25">
      <c r="C73" s="22"/>
      <c r="AF73" s="18"/>
    </row>
    <row r="74" spans="3:32" x14ac:dyDescent="0.25">
      <c r="C74" s="22"/>
      <c r="AF74" s="18"/>
    </row>
    <row r="75" spans="3:32" x14ac:dyDescent="0.25">
      <c r="C75" s="22"/>
      <c r="AF75" s="18"/>
    </row>
    <row r="76" spans="3:32" x14ac:dyDescent="0.25">
      <c r="C76" s="22"/>
      <c r="AF76" s="18"/>
    </row>
    <row r="77" spans="3:32" x14ac:dyDescent="0.25">
      <c r="C77" s="22"/>
      <c r="AF77" s="18"/>
    </row>
    <row r="78" spans="3:32" x14ac:dyDescent="0.25">
      <c r="C78" s="22"/>
      <c r="AF78" s="18"/>
    </row>
    <row r="79" spans="3:32" x14ac:dyDescent="0.25">
      <c r="C79" s="22"/>
      <c r="AF79" s="18"/>
    </row>
    <row r="80" spans="3:32" x14ac:dyDescent="0.25">
      <c r="C80" s="22"/>
      <c r="AF80" s="18"/>
    </row>
    <row r="81" spans="3:32" x14ac:dyDescent="0.25">
      <c r="C81" s="22"/>
      <c r="AF81" s="18"/>
    </row>
    <row r="82" spans="3:32" x14ac:dyDescent="0.25">
      <c r="C82" s="22"/>
      <c r="AF82" s="18"/>
    </row>
    <row r="83" spans="3:32" x14ac:dyDescent="0.25">
      <c r="C83" s="22"/>
      <c r="AF83" s="18"/>
    </row>
    <row r="84" spans="3:32" x14ac:dyDescent="0.25">
      <c r="C84" s="22"/>
      <c r="AF84" s="18"/>
    </row>
    <row r="85" spans="3:32" x14ac:dyDescent="0.25">
      <c r="C85" s="22"/>
      <c r="AF85" s="18"/>
    </row>
    <row r="86" spans="3:32" x14ac:dyDescent="0.25">
      <c r="C86" s="22"/>
      <c r="AF86" s="18"/>
    </row>
    <row r="87" spans="3:32" x14ac:dyDescent="0.25">
      <c r="C87" s="22"/>
      <c r="AF87" s="18"/>
    </row>
    <row r="88" spans="3:32" x14ac:dyDescent="0.25">
      <c r="C88" s="22"/>
      <c r="AF88" s="18"/>
    </row>
    <row r="89" spans="3:32" x14ac:dyDescent="0.25">
      <c r="C89" s="22"/>
      <c r="AF89" s="18"/>
    </row>
    <row r="90" spans="3:32" x14ac:dyDescent="0.25">
      <c r="C90" s="22"/>
      <c r="AF90" s="18"/>
    </row>
    <row r="91" spans="3:32" x14ac:dyDescent="0.25">
      <c r="C91" s="22"/>
      <c r="AF91" s="18"/>
    </row>
    <row r="92" spans="3:32" x14ac:dyDescent="0.25">
      <c r="C92" s="22"/>
      <c r="AF92" s="18"/>
    </row>
    <row r="93" spans="3:32" x14ac:dyDescent="0.25">
      <c r="C93" s="22"/>
      <c r="AF93" s="18"/>
    </row>
    <row r="94" spans="3:32" x14ac:dyDescent="0.25">
      <c r="C94" s="22"/>
      <c r="AF94" s="18"/>
    </row>
    <row r="95" spans="3:32" x14ac:dyDescent="0.25">
      <c r="C95" s="22"/>
      <c r="AF95" s="18"/>
    </row>
    <row r="96" spans="3:32" x14ac:dyDescent="0.25">
      <c r="C96" s="22"/>
      <c r="AF96" s="18"/>
    </row>
    <row r="97" spans="3:32" x14ac:dyDescent="0.25">
      <c r="C97" s="22"/>
      <c r="AF97" s="18"/>
    </row>
    <row r="98" spans="3:32" x14ac:dyDescent="0.25">
      <c r="C98" s="22"/>
      <c r="AF98" s="18"/>
    </row>
    <row r="99" spans="3:32" x14ac:dyDescent="0.25">
      <c r="C99" s="22"/>
      <c r="AF99" s="18"/>
    </row>
    <row r="100" spans="3:32" x14ac:dyDescent="0.25">
      <c r="C100" s="22"/>
      <c r="AF100" s="18"/>
    </row>
  </sheetData>
  <autoFilter ref="A1:AH98" xr:uid="{B2F26ADF-A76E-483E-B515-1BC07834D443}"/>
  <pageMargins left="0.7" right="0.7" top="0.75" bottom="0.75" header="0.3" footer="0.3"/>
  <pageSetup paperSize="9" orientation="portrait" r:id="rId1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925-5FC1-4109-A23D-8ADA8308449E}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 xr:uid="{C7279925-5FC1-4109-A23D-8ADA8308449E}"/>
  <hyperlinks>
    <hyperlink ref="O2" r:id="rId1" xr:uid="{7EFA633E-E1C5-4984-B2ED-623F21986EA4}"/>
    <hyperlink ref="U2" r:id="rId2" xr:uid="{56D610AE-976A-4756-8D98-54457789B78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2C5-2A80-40F0-ABC6-EC876C3BEE48}">
  <dimension ref="A1:AP1068"/>
  <sheetViews>
    <sheetView topLeftCell="AE1" workbookViewId="0">
      <selection activeCell="AN2" sqref="AN2"/>
    </sheetView>
  </sheetViews>
  <sheetFormatPr defaultColWidth="45.85546875" defaultRowHeight="15" x14ac:dyDescent="0.25"/>
  <cols>
    <col min="1" max="1" width="36.85546875" style="17" bestFit="1" customWidth="1"/>
    <col min="2" max="2" width="11" style="17" bestFit="1" customWidth="1"/>
    <col min="3" max="4" width="41.28515625" style="17" customWidth="1"/>
    <col min="5" max="5" width="10.42578125" style="17" bestFit="1" customWidth="1"/>
    <col min="6" max="6" width="9.85546875" style="17" bestFit="1" customWidth="1"/>
    <col min="7" max="7" width="22.28515625" style="17" customWidth="1"/>
    <col min="8" max="8" width="11.5703125" style="17" bestFit="1" customWidth="1"/>
    <col min="9" max="9" width="14.7109375" style="17" bestFit="1" customWidth="1"/>
    <col min="10" max="10" width="22.28515625" style="18" bestFit="1" customWidth="1"/>
    <col min="11" max="11" width="31.140625" style="17" bestFit="1" customWidth="1"/>
    <col min="12" max="13" width="31.140625" style="17" customWidth="1"/>
    <col min="14" max="14" width="15.7109375" style="17" bestFit="1" customWidth="1"/>
    <col min="15" max="15" width="10" style="17" bestFit="1" customWidth="1"/>
    <col min="16" max="16" width="17.5703125" style="17" bestFit="1" customWidth="1"/>
    <col min="17" max="17" width="17.28515625" style="17" customWidth="1"/>
    <col min="18" max="18" width="47.28515625" style="17" bestFit="1" customWidth="1"/>
    <col min="19" max="19" width="11.28515625" style="17" bestFit="1" customWidth="1"/>
    <col min="20" max="20" width="23.42578125" style="17" bestFit="1" customWidth="1"/>
    <col min="21" max="21" width="15" style="17" bestFit="1" customWidth="1"/>
    <col min="22" max="22" width="32.5703125" style="17" customWidth="1"/>
    <col min="23" max="23" width="8.7109375" style="17" customWidth="1"/>
    <col min="24" max="24" width="12.28515625" style="17" customWidth="1"/>
    <col min="25" max="25" width="28.42578125" style="17" customWidth="1"/>
    <col min="26" max="26" width="28" style="18" customWidth="1"/>
    <col min="27" max="27" width="28" style="17" customWidth="1"/>
    <col min="28" max="28" width="11.28515625" style="17" bestFit="1" customWidth="1"/>
    <col min="29" max="29" width="30.7109375" style="17" bestFit="1" customWidth="1"/>
    <col min="30" max="30" width="33.42578125" style="17" bestFit="1" customWidth="1"/>
    <col min="31" max="31" width="15.140625" style="18" bestFit="1" customWidth="1"/>
    <col min="32" max="32" width="38.28515625" style="17" customWidth="1"/>
    <col min="33" max="33" width="24" style="17" customWidth="1"/>
    <col min="34" max="35" width="18.140625" style="17" customWidth="1"/>
    <col min="36" max="36" width="38.28515625" style="17" bestFit="1" customWidth="1"/>
    <col min="37" max="37" width="20" style="17" bestFit="1" customWidth="1"/>
    <col min="38" max="38" width="24" style="17" bestFit="1" customWidth="1"/>
    <col min="39" max="39" width="9.85546875" style="17" bestFit="1" customWidth="1"/>
    <col min="40" max="40" width="8.7109375" style="17" customWidth="1"/>
    <col min="41" max="41" width="10.42578125" style="17" customWidth="1"/>
    <col min="42" max="42" width="18.5703125" style="17" bestFit="1" customWidth="1"/>
    <col min="43" max="16384" width="45.85546875" style="17"/>
  </cols>
  <sheetData>
    <row r="1" spans="1:42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72</v>
      </c>
      <c r="F1" s="19" t="s">
        <v>4</v>
      </c>
      <c r="G1" s="19" t="s">
        <v>5</v>
      </c>
      <c r="H1" s="19" t="s">
        <v>6</v>
      </c>
      <c r="I1" s="19" t="s">
        <v>7</v>
      </c>
      <c r="J1" s="24" t="s">
        <v>8</v>
      </c>
      <c r="K1" s="17" t="s">
        <v>152</v>
      </c>
      <c r="L1" s="17" t="s">
        <v>153</v>
      </c>
      <c r="M1" s="17" t="s">
        <v>154</v>
      </c>
      <c r="N1" s="19" t="s">
        <v>10</v>
      </c>
      <c r="O1" s="19" t="s">
        <v>11</v>
      </c>
      <c r="P1" s="19" t="s">
        <v>12</v>
      </c>
      <c r="Q1" s="19" t="s">
        <v>13</v>
      </c>
      <c r="R1" s="20" t="s">
        <v>100</v>
      </c>
      <c r="S1" s="19" t="s">
        <v>15</v>
      </c>
      <c r="T1" s="19" t="s">
        <v>16</v>
      </c>
      <c r="U1" s="19" t="s">
        <v>17</v>
      </c>
      <c r="V1" s="21" t="s">
        <v>20</v>
      </c>
      <c r="W1" s="19" t="s">
        <v>96</v>
      </c>
      <c r="X1" s="19" t="s">
        <v>97</v>
      </c>
      <c r="Y1" s="21" t="s">
        <v>101</v>
      </c>
      <c r="Z1" s="23" t="s">
        <v>102</v>
      </c>
      <c r="AA1" s="21" t="s">
        <v>103</v>
      </c>
      <c r="AB1" s="19" t="s">
        <v>105</v>
      </c>
      <c r="AC1" s="17" t="s">
        <v>104</v>
      </c>
      <c r="AD1" s="19" t="s">
        <v>119</v>
      </c>
      <c r="AE1" s="26" t="s">
        <v>136</v>
      </c>
      <c r="AF1" s="25" t="s">
        <v>137</v>
      </c>
      <c r="AG1" s="17" t="s">
        <v>143</v>
      </c>
      <c r="AH1" s="17" t="s">
        <v>145</v>
      </c>
      <c r="AI1" s="17" t="s">
        <v>146</v>
      </c>
      <c r="AJ1" s="19" t="s">
        <v>98</v>
      </c>
      <c r="AK1" s="19" t="s">
        <v>18</v>
      </c>
      <c r="AL1" s="19" t="s">
        <v>19</v>
      </c>
      <c r="AM1" s="19" t="s">
        <v>21</v>
      </c>
      <c r="AN1" s="19" t="s">
        <v>23</v>
      </c>
      <c r="AO1" s="19" t="s">
        <v>24</v>
      </c>
      <c r="AP1" s="19" t="s">
        <v>25</v>
      </c>
    </row>
    <row r="2" spans="1:42" x14ac:dyDescent="0.25">
      <c r="A2" s="17" t="str">
        <f>RIGHT('Invoer APP data'!B2,LEN('Invoer APP data'!B2)-4)</f>
        <v>test123</v>
      </c>
      <c r="B2" s="17">
        <f>_xlfn.NUMBERVALUE('Invoer APP data'!AB2)</f>
        <v>2</v>
      </c>
      <c r="C2" s="17" t="str">
        <f>'Invoer APP data'!B2</f>
        <v>APP-test123</v>
      </c>
      <c r="D2" s="17" t="str">
        <f>'Invoer APP data'!BB2</f>
        <v>naamtest123</v>
      </c>
      <c r="E2" s="28" t="str">
        <f>'Invoer APP data'!AA2</f>
        <v/>
      </c>
      <c r="F2" s="17" t="str">
        <f>IF('Invoer APP data'!BH2="Ja","Ja","Nee")</f>
        <v>Nee</v>
      </c>
      <c r="G2" s="17" t="str">
        <f>'Invoer APP data'!BP2</f>
        <v>In productie</v>
      </c>
      <c r="H2" s="17" t="str">
        <f>IF('Invoer APP data'!BI2="","Tolereren",'Invoer APP data'!BI2)</f>
        <v>Tolereren</v>
      </c>
      <c r="I2" s="28" t="str">
        <f>'Invoer APP data'!AD2</f>
        <v/>
      </c>
      <c r="J2" s="18">
        <f>IF('Invoer APP data'!S2=73050,49675,'Invoer APP data'!S2)</f>
        <v>53359</v>
      </c>
      <c r="K2" s="17" t="str">
        <f>IF('Invoer APP data'!H2&lt;&gt;"",'Invoer APP data'!H2,'Invoer APP data'!G2)</f>
        <v>B10 Maatschappelijke Ontwikkeling</v>
      </c>
      <c r="L2" s="17" t="str">
        <f>'Invoer APP data'!K2</f>
        <v/>
      </c>
      <c r="M2" s="17" t="str">
        <f>IF('Invoer APP data'!Q2="",'Invoer APP data'!K2,'Invoer APP data'!Q2)</f>
        <v/>
      </c>
      <c r="N2" s="17" t="str">
        <f>IF('Invoer APP data'!AH2 = "","Niet bekend",MID('Invoer APP data'!AH2,5,25))</f>
        <v>Nodig</v>
      </c>
      <c r="O2" s="17" t="str">
        <f>IF('Invoer APP data'!AV2 = "","Niet bekend",MID('Invoer APP data'!AV2,5,25))</f>
        <v>Hoog</v>
      </c>
      <c r="P2" s="17" t="str">
        <f>IF('Invoer APP data'!BJ2 = "","Niet bekend",MID('Invoer APP data'!BJ2,5,25))</f>
        <v>Vertrouwelijk</v>
      </c>
      <c r="Q2" s="17" t="str">
        <f>IF('Invoer APP data'!AC2 = "","Niet bekend",'Invoer APP data'!AC2)</f>
        <v>Goed</v>
      </c>
      <c r="R2" s="17" t="str">
        <f>IF('Invoer APP data'!AW2 = "","Niet bekend",'Invoer APP data'!AW2)</f>
        <v>Preferent</v>
      </c>
      <c r="S2" s="17" t="str">
        <f>IF('Invoer APP data'!AR2 = "","Niet bekend",'Invoer APP data'!AR2)</f>
        <v>Voldoende flexibel</v>
      </c>
      <c r="T2" s="17" t="str">
        <f>IF('Invoer APP data'!AT2 = "","Niet bekend",'Invoer APP data'!AT2)</f>
        <v>Zeer tevreden</v>
      </c>
      <c r="U2" s="17" t="str">
        <f>IF('Invoer APP data'!BF2 = "","Niet bekend",'Invoer APP data'!BF2)</f>
        <v>4 Laag (nauwelijks merkbaar)</v>
      </c>
      <c r="V2" s="17" t="str">
        <f>'Invoer APP data'!BA2</f>
        <v>Fabfrikant</v>
      </c>
      <c r="W2" s="17" t="s">
        <v>52</v>
      </c>
      <c r="X2" s="18">
        <f>'Invoer APP data'!D2</f>
        <v>44636.477951388886</v>
      </c>
      <c r="Y2" s="18" t="str">
        <f>'Invoer APP data'!T2</f>
        <v>Accomodatieplanning.</v>
      </c>
      <c r="Z2" s="18">
        <f t="shared" ref="Z2" ca="1" si="0">TODAY()</f>
        <v>46296</v>
      </c>
      <c r="AA2" s="17" t="str">
        <f>LEFT('Invoer APP data'!G2,3)</f>
        <v>B10</v>
      </c>
      <c r="AB2" s="17" t="str">
        <f>IF('Invoer APP data'!AD2="Saas","Ja","Nee")</f>
        <v>Nee</v>
      </c>
      <c r="AC2" s="17" t="str">
        <f>'Invoer APP data'!AU2</f>
        <v/>
      </c>
      <c r="AD2" s="17">
        <f t="shared" ref="AD2" si="1">B2</f>
        <v>2</v>
      </c>
      <c r="AE2" s="18">
        <f>IF('Invoer APP data'!BC2 = "",73050,'Invoer APP data'!BC2)</f>
        <v>73050</v>
      </c>
      <c r="AF2" s="17" t="str">
        <f>'Invoer APP data'!BD2</f>
        <v/>
      </c>
      <c r="AG2" s="18">
        <f>'Invoer APP data'!E2</f>
        <v>46266.646099537036</v>
      </c>
      <c r="AH2" s="18" t="str">
        <f>IF('Invoer APP data'!AK2="","NB",'Invoer APP data'!AK2)</f>
        <v>NB</v>
      </c>
      <c r="AI2" s="18" t="str">
        <f>'Invoer APP data'!AX2</f>
        <v/>
      </c>
      <c r="AJ2" s="17" t="str">
        <f>'Invoer APP data'!M2</f>
        <v>ICT AB CD Test123</v>
      </c>
    </row>
    <row r="3" spans="1:42" x14ac:dyDescent="0.25">
      <c r="E3" s="28"/>
      <c r="I3" s="28"/>
      <c r="X3" s="18"/>
      <c r="Y3" s="18"/>
      <c r="AG3" s="18"/>
      <c r="AH3" s="18"/>
      <c r="AI3" s="18"/>
    </row>
    <row r="4" spans="1:42" x14ac:dyDescent="0.25">
      <c r="E4" s="28"/>
      <c r="I4" s="28"/>
      <c r="X4" s="18"/>
      <c r="Y4" s="18"/>
      <c r="AG4" s="18"/>
      <c r="AH4" s="18"/>
      <c r="AI4" s="18"/>
    </row>
    <row r="5" spans="1:42" x14ac:dyDescent="0.25">
      <c r="E5" s="28"/>
      <c r="I5" s="28"/>
      <c r="X5" s="18"/>
      <c r="Y5" s="18"/>
      <c r="AG5" s="18"/>
      <c r="AH5" s="18"/>
      <c r="AI5" s="18"/>
    </row>
    <row r="6" spans="1:42" x14ac:dyDescent="0.25">
      <c r="E6" s="28"/>
      <c r="I6" s="28"/>
      <c r="X6" s="18"/>
      <c r="Y6" s="18"/>
      <c r="AG6" s="18"/>
      <c r="AH6" s="18"/>
      <c r="AI6" s="18"/>
    </row>
    <row r="7" spans="1:42" x14ac:dyDescent="0.25">
      <c r="E7" s="28"/>
      <c r="I7" s="28"/>
      <c r="X7" s="18"/>
      <c r="Y7" s="18"/>
      <c r="AG7" s="18"/>
      <c r="AH7" s="18"/>
      <c r="AI7" s="18"/>
    </row>
    <row r="8" spans="1:42" x14ac:dyDescent="0.25">
      <c r="E8" s="28"/>
      <c r="I8" s="28"/>
      <c r="X8" s="18"/>
      <c r="Y8" s="18"/>
      <c r="AG8" s="18"/>
      <c r="AH8" s="18"/>
      <c r="AI8" s="18"/>
    </row>
    <row r="9" spans="1:42" x14ac:dyDescent="0.25">
      <c r="E9" s="28"/>
      <c r="I9" s="28"/>
      <c r="X9" s="18"/>
      <c r="Y9" s="18"/>
      <c r="AG9" s="18"/>
      <c r="AH9" s="18"/>
      <c r="AI9" s="18"/>
    </row>
    <row r="10" spans="1:42" x14ac:dyDescent="0.25">
      <c r="E10" s="28"/>
      <c r="I10" s="28"/>
      <c r="X10" s="18"/>
      <c r="Y10" s="18"/>
      <c r="AG10" s="18"/>
      <c r="AH10" s="18"/>
      <c r="AI10" s="18"/>
    </row>
    <row r="11" spans="1:42" x14ac:dyDescent="0.25">
      <c r="E11" s="28"/>
      <c r="I11" s="28"/>
      <c r="X11" s="18"/>
      <c r="Y11" s="18"/>
      <c r="AG11" s="18"/>
      <c r="AH11" s="18"/>
      <c r="AI11" s="18"/>
    </row>
    <row r="12" spans="1:42" x14ac:dyDescent="0.25">
      <c r="E12" s="28"/>
      <c r="I12" s="28"/>
      <c r="X12" s="18"/>
      <c r="Y12" s="18"/>
      <c r="AG12" s="18"/>
      <c r="AH12" s="18"/>
      <c r="AI12" s="18"/>
    </row>
    <row r="13" spans="1:42" x14ac:dyDescent="0.25">
      <c r="E13" s="28"/>
      <c r="I13" s="28"/>
      <c r="X13" s="18"/>
      <c r="Y13" s="18"/>
      <c r="AG13" s="18"/>
      <c r="AH13" s="18"/>
      <c r="AI13" s="18"/>
    </row>
    <row r="14" spans="1:42" x14ac:dyDescent="0.25">
      <c r="E14" s="28"/>
      <c r="I14" s="28"/>
      <c r="X14" s="18"/>
      <c r="Y14" s="18"/>
      <c r="AG14" s="18"/>
      <c r="AH14" s="18"/>
      <c r="AI14" s="18"/>
    </row>
    <row r="15" spans="1:42" x14ac:dyDescent="0.25">
      <c r="E15" s="28"/>
      <c r="I15" s="28"/>
      <c r="X15" s="18"/>
      <c r="Y15" s="18"/>
      <c r="AG15" s="18"/>
      <c r="AH15" s="18"/>
      <c r="AI15" s="18"/>
    </row>
    <row r="16" spans="1:42" x14ac:dyDescent="0.25">
      <c r="E16" s="28"/>
      <c r="I16" s="28"/>
      <c r="X16" s="18"/>
      <c r="Y16" s="18"/>
      <c r="AG16" s="18"/>
      <c r="AH16" s="18"/>
      <c r="AI16" s="18"/>
    </row>
    <row r="17" spans="5:35" x14ac:dyDescent="0.25">
      <c r="E17" s="28"/>
      <c r="I17" s="28"/>
      <c r="X17" s="18"/>
      <c r="Y17" s="18"/>
      <c r="AG17" s="18"/>
      <c r="AH17" s="18"/>
      <c r="AI17" s="18"/>
    </row>
    <row r="18" spans="5:35" x14ac:dyDescent="0.25">
      <c r="E18" s="28"/>
      <c r="I18" s="28"/>
      <c r="X18" s="18"/>
      <c r="Y18" s="18"/>
      <c r="AG18" s="18"/>
      <c r="AH18" s="18"/>
      <c r="AI18" s="18"/>
    </row>
    <row r="19" spans="5:35" x14ac:dyDescent="0.25">
      <c r="E19" s="28"/>
      <c r="I19" s="28"/>
      <c r="X19" s="18"/>
      <c r="Y19" s="18"/>
      <c r="AG19" s="18"/>
      <c r="AH19" s="18"/>
      <c r="AI19" s="18"/>
    </row>
    <row r="20" spans="5:35" x14ac:dyDescent="0.25">
      <c r="E20" s="28"/>
      <c r="I20" s="28"/>
      <c r="X20" s="18"/>
      <c r="Y20" s="18"/>
      <c r="AG20" s="18"/>
      <c r="AH20" s="18"/>
      <c r="AI20" s="18"/>
    </row>
    <row r="21" spans="5:35" x14ac:dyDescent="0.25">
      <c r="E21" s="28"/>
      <c r="I21" s="28"/>
      <c r="X21" s="18"/>
      <c r="Y21" s="18"/>
      <c r="AG21" s="18"/>
      <c r="AH21" s="18"/>
      <c r="AI21" s="18"/>
    </row>
    <row r="22" spans="5:35" x14ac:dyDescent="0.25">
      <c r="E22" s="28"/>
      <c r="I22" s="28"/>
      <c r="X22" s="18"/>
      <c r="Y22" s="18"/>
      <c r="AG22" s="18"/>
      <c r="AH22" s="18"/>
      <c r="AI22" s="18"/>
    </row>
    <row r="23" spans="5:35" x14ac:dyDescent="0.25">
      <c r="E23" s="28"/>
      <c r="I23" s="28"/>
      <c r="X23" s="18"/>
      <c r="Y23" s="18"/>
      <c r="AG23" s="18"/>
      <c r="AH23" s="18"/>
      <c r="AI23" s="18"/>
    </row>
    <row r="24" spans="5:35" x14ac:dyDescent="0.25">
      <c r="E24" s="28"/>
      <c r="I24" s="28"/>
      <c r="X24" s="18"/>
      <c r="Y24" s="18"/>
      <c r="AG24" s="18"/>
      <c r="AH24" s="18"/>
      <c r="AI24" s="18"/>
    </row>
    <row r="25" spans="5:35" x14ac:dyDescent="0.25">
      <c r="E25" s="28"/>
      <c r="I25" s="28"/>
      <c r="X25" s="18"/>
      <c r="Y25" s="18"/>
      <c r="AG25" s="18"/>
      <c r="AH25" s="18"/>
      <c r="AI25" s="18"/>
    </row>
    <row r="26" spans="5:35" x14ac:dyDescent="0.25">
      <c r="E26" s="28"/>
      <c r="I26" s="28"/>
      <c r="X26" s="18"/>
      <c r="Y26" s="18"/>
      <c r="AG26" s="18"/>
      <c r="AH26" s="18"/>
      <c r="AI26" s="18"/>
    </row>
    <row r="27" spans="5:35" x14ac:dyDescent="0.25">
      <c r="E27" s="28"/>
      <c r="I27" s="28"/>
      <c r="X27" s="18"/>
      <c r="Y27" s="18"/>
      <c r="AG27" s="18"/>
      <c r="AH27" s="18"/>
      <c r="AI27" s="18"/>
    </row>
    <row r="28" spans="5:35" x14ac:dyDescent="0.25">
      <c r="E28" s="28"/>
      <c r="I28" s="28"/>
      <c r="X28" s="18"/>
      <c r="Y28" s="18"/>
      <c r="AG28" s="18"/>
      <c r="AH28" s="18"/>
      <c r="AI28" s="18"/>
    </row>
    <row r="29" spans="5:35" x14ac:dyDescent="0.25">
      <c r="E29" s="28"/>
      <c r="I29" s="28"/>
      <c r="X29" s="18"/>
      <c r="Y29" s="18"/>
      <c r="AG29" s="18"/>
      <c r="AH29" s="18"/>
      <c r="AI29" s="18"/>
    </row>
    <row r="30" spans="5:35" x14ac:dyDescent="0.25">
      <c r="E30" s="28"/>
      <c r="I30" s="28"/>
      <c r="X30" s="18"/>
      <c r="Y30" s="18"/>
      <c r="AG30" s="18"/>
      <c r="AH30" s="18"/>
      <c r="AI30" s="18"/>
    </row>
    <row r="31" spans="5:35" x14ac:dyDescent="0.25">
      <c r="E31" s="28"/>
      <c r="I31" s="28"/>
      <c r="X31" s="18"/>
      <c r="Y31" s="18"/>
      <c r="AG31" s="18"/>
      <c r="AH31" s="18"/>
      <c r="AI31" s="18"/>
    </row>
    <row r="32" spans="5:35" x14ac:dyDescent="0.25">
      <c r="E32" s="28"/>
      <c r="I32" s="28"/>
      <c r="X32" s="18"/>
      <c r="Y32" s="18"/>
      <c r="AG32" s="18"/>
      <c r="AH32" s="18"/>
      <c r="AI32" s="18"/>
    </row>
    <row r="33" spans="5:35" x14ac:dyDescent="0.25">
      <c r="E33" s="28"/>
      <c r="I33" s="28"/>
      <c r="X33" s="18"/>
      <c r="Y33" s="18"/>
      <c r="AG33" s="18"/>
      <c r="AH33" s="18"/>
      <c r="AI33" s="18"/>
    </row>
    <row r="34" spans="5:35" x14ac:dyDescent="0.25">
      <c r="E34" s="28"/>
      <c r="I34" s="28"/>
      <c r="X34" s="18"/>
      <c r="Y34" s="18"/>
      <c r="AG34" s="18"/>
      <c r="AH34" s="18"/>
      <c r="AI34" s="18"/>
    </row>
    <row r="35" spans="5:35" x14ac:dyDescent="0.25">
      <c r="E35" s="28"/>
      <c r="I35" s="28"/>
      <c r="X35" s="18"/>
      <c r="Y35" s="18"/>
      <c r="AG35" s="18"/>
      <c r="AH35" s="18"/>
      <c r="AI35" s="18"/>
    </row>
    <row r="36" spans="5:35" x14ac:dyDescent="0.25">
      <c r="E36" s="28"/>
      <c r="I36" s="28"/>
      <c r="X36" s="18"/>
      <c r="Y36" s="18"/>
      <c r="AG36" s="18"/>
      <c r="AH36" s="18"/>
      <c r="AI36" s="18"/>
    </row>
    <row r="37" spans="5:35" x14ac:dyDescent="0.25">
      <c r="E37" s="28"/>
      <c r="I37" s="28"/>
      <c r="X37" s="18"/>
      <c r="Y37" s="18"/>
      <c r="AG37" s="18"/>
      <c r="AH37" s="18"/>
      <c r="AI37" s="18"/>
    </row>
    <row r="38" spans="5:35" x14ac:dyDescent="0.25">
      <c r="E38" s="28"/>
      <c r="I38" s="28"/>
      <c r="X38" s="18"/>
      <c r="Y38" s="18"/>
      <c r="AG38" s="18"/>
      <c r="AH38" s="18"/>
      <c r="AI38" s="18"/>
    </row>
    <row r="39" spans="5:35" x14ac:dyDescent="0.25">
      <c r="E39" s="28"/>
      <c r="I39" s="28"/>
      <c r="X39" s="18"/>
      <c r="Y39" s="18"/>
      <c r="AG39" s="18"/>
      <c r="AH39" s="18"/>
      <c r="AI39" s="18"/>
    </row>
    <row r="40" spans="5:35" x14ac:dyDescent="0.25">
      <c r="E40" s="28"/>
      <c r="I40" s="28"/>
      <c r="X40" s="18"/>
      <c r="Y40" s="18"/>
      <c r="AG40" s="18"/>
      <c r="AH40" s="18"/>
      <c r="AI40" s="18"/>
    </row>
    <row r="41" spans="5:35" x14ac:dyDescent="0.25">
      <c r="E41" s="28"/>
      <c r="I41" s="28"/>
      <c r="X41" s="18"/>
      <c r="Y41" s="18"/>
      <c r="AG41" s="18"/>
      <c r="AH41" s="18"/>
      <c r="AI41" s="18"/>
    </row>
    <row r="42" spans="5:35" x14ac:dyDescent="0.25">
      <c r="E42" s="28"/>
      <c r="I42" s="28"/>
      <c r="X42" s="18"/>
      <c r="Y42" s="18"/>
      <c r="AG42" s="18"/>
      <c r="AH42" s="18"/>
      <c r="AI42" s="18"/>
    </row>
    <row r="43" spans="5:35" x14ac:dyDescent="0.25">
      <c r="E43" s="28"/>
      <c r="I43" s="28"/>
      <c r="X43" s="18"/>
      <c r="Y43" s="18"/>
      <c r="AG43" s="18"/>
      <c r="AH43" s="18"/>
      <c r="AI43" s="18"/>
    </row>
    <row r="44" spans="5:35" x14ac:dyDescent="0.25">
      <c r="E44" s="28"/>
      <c r="I44" s="28"/>
      <c r="X44" s="18"/>
      <c r="Y44" s="18"/>
      <c r="AG44" s="18"/>
      <c r="AH44" s="18"/>
      <c r="AI44" s="18"/>
    </row>
    <row r="45" spans="5:35" x14ac:dyDescent="0.25">
      <c r="E45" s="28"/>
      <c r="I45" s="28"/>
      <c r="X45" s="18"/>
      <c r="Y45" s="18"/>
      <c r="AG45" s="18"/>
      <c r="AH45" s="18"/>
      <c r="AI45" s="18"/>
    </row>
    <row r="46" spans="5:35" x14ac:dyDescent="0.25">
      <c r="E46" s="28"/>
      <c r="I46" s="28"/>
      <c r="X46" s="18"/>
      <c r="Y46" s="18"/>
      <c r="AG46" s="18"/>
      <c r="AH46" s="18"/>
      <c r="AI46" s="18"/>
    </row>
    <row r="47" spans="5:35" x14ac:dyDescent="0.25">
      <c r="E47" s="28"/>
      <c r="I47" s="28"/>
      <c r="X47" s="18"/>
      <c r="Y47" s="18"/>
      <c r="AG47" s="18"/>
      <c r="AH47" s="18"/>
      <c r="AI47" s="18"/>
    </row>
    <row r="48" spans="5:35" x14ac:dyDescent="0.25">
      <c r="E48" s="28"/>
      <c r="I48" s="28"/>
      <c r="X48" s="18"/>
      <c r="Y48" s="18"/>
      <c r="AG48" s="18"/>
      <c r="AH48" s="18"/>
      <c r="AI48" s="18"/>
    </row>
    <row r="49" spans="5:35" x14ac:dyDescent="0.25">
      <c r="E49" s="28"/>
      <c r="I49" s="28"/>
      <c r="X49" s="18"/>
      <c r="Y49" s="18"/>
      <c r="AG49" s="18"/>
      <c r="AH49" s="18"/>
      <c r="AI49" s="18"/>
    </row>
    <row r="50" spans="5:35" x14ac:dyDescent="0.25">
      <c r="E50" s="28"/>
      <c r="I50" s="28"/>
      <c r="X50" s="18"/>
      <c r="Y50" s="18"/>
      <c r="AG50" s="18"/>
      <c r="AH50" s="18"/>
      <c r="AI50" s="18"/>
    </row>
    <row r="51" spans="5:35" x14ac:dyDescent="0.25">
      <c r="E51" s="28"/>
      <c r="I51" s="28"/>
      <c r="X51" s="18"/>
      <c r="Y51" s="18"/>
      <c r="AG51" s="18"/>
      <c r="AH51" s="18"/>
      <c r="AI51" s="18"/>
    </row>
    <row r="52" spans="5:35" x14ac:dyDescent="0.25">
      <c r="E52" s="28"/>
      <c r="I52" s="28"/>
      <c r="X52" s="18"/>
      <c r="Y52" s="18"/>
      <c r="AG52" s="18"/>
      <c r="AH52" s="18"/>
      <c r="AI52" s="18"/>
    </row>
    <row r="53" spans="5:35" x14ac:dyDescent="0.25">
      <c r="E53" s="28"/>
      <c r="I53" s="28"/>
      <c r="X53" s="18"/>
      <c r="Y53" s="18"/>
      <c r="AG53" s="18"/>
      <c r="AH53" s="18"/>
      <c r="AI53" s="18"/>
    </row>
    <row r="54" spans="5:35" x14ac:dyDescent="0.25">
      <c r="E54" s="28"/>
      <c r="I54" s="28"/>
      <c r="X54" s="18"/>
      <c r="Y54" s="18"/>
      <c r="AG54" s="18"/>
      <c r="AH54" s="18"/>
      <c r="AI54" s="18"/>
    </row>
    <row r="55" spans="5:35" x14ac:dyDescent="0.25">
      <c r="E55" s="28"/>
      <c r="I55" s="28"/>
      <c r="X55" s="18"/>
      <c r="Y55" s="18"/>
      <c r="AG55" s="18"/>
      <c r="AH55" s="18"/>
      <c r="AI55" s="18"/>
    </row>
    <row r="56" spans="5:35" x14ac:dyDescent="0.25">
      <c r="E56" s="28"/>
      <c r="I56" s="28"/>
      <c r="X56" s="18"/>
      <c r="Y56" s="18"/>
      <c r="AG56" s="18"/>
      <c r="AH56" s="18"/>
      <c r="AI56" s="18"/>
    </row>
    <row r="57" spans="5:35" x14ac:dyDescent="0.25">
      <c r="E57" s="28"/>
      <c r="I57" s="28"/>
      <c r="X57" s="18"/>
      <c r="Y57" s="18"/>
      <c r="AG57" s="18"/>
      <c r="AH57" s="18"/>
      <c r="AI57" s="18"/>
    </row>
    <row r="58" spans="5:35" x14ac:dyDescent="0.25">
      <c r="E58" s="28"/>
      <c r="I58" s="28"/>
      <c r="X58" s="18"/>
      <c r="Y58" s="18"/>
      <c r="AG58" s="18"/>
      <c r="AH58" s="18"/>
      <c r="AI58" s="18"/>
    </row>
    <row r="59" spans="5:35" x14ac:dyDescent="0.25">
      <c r="E59" s="28"/>
      <c r="I59" s="28"/>
      <c r="X59" s="18"/>
      <c r="Y59" s="18"/>
      <c r="AG59" s="18"/>
      <c r="AH59" s="18"/>
      <c r="AI59" s="18"/>
    </row>
    <row r="60" spans="5:35" x14ac:dyDescent="0.25">
      <c r="E60" s="28"/>
      <c r="I60" s="28"/>
      <c r="X60" s="18"/>
      <c r="Y60" s="18"/>
      <c r="AG60" s="18"/>
      <c r="AH60" s="18"/>
      <c r="AI60" s="18"/>
    </row>
    <row r="61" spans="5:35" x14ac:dyDescent="0.25">
      <c r="E61" s="28"/>
      <c r="I61" s="28"/>
      <c r="X61" s="18"/>
      <c r="Y61" s="18"/>
      <c r="AG61" s="18"/>
      <c r="AH61" s="18"/>
      <c r="AI61" s="18"/>
    </row>
    <row r="62" spans="5:35" x14ac:dyDescent="0.25">
      <c r="E62" s="28"/>
      <c r="I62" s="28"/>
      <c r="X62" s="18"/>
      <c r="Y62" s="18"/>
      <c r="AG62" s="18"/>
      <c r="AH62" s="18"/>
      <c r="AI62" s="18"/>
    </row>
    <row r="63" spans="5:35" x14ac:dyDescent="0.25">
      <c r="E63" s="28"/>
      <c r="I63" s="28"/>
      <c r="X63" s="18"/>
      <c r="Y63" s="18"/>
      <c r="AG63" s="18"/>
      <c r="AH63" s="18"/>
      <c r="AI63" s="18"/>
    </row>
    <row r="64" spans="5:35" x14ac:dyDescent="0.25">
      <c r="E64" s="28"/>
      <c r="I64" s="28"/>
      <c r="X64" s="18"/>
      <c r="Y64" s="18"/>
      <c r="AG64" s="18"/>
      <c r="AH64" s="18"/>
      <c r="AI64" s="18"/>
    </row>
    <row r="65" spans="5:35" x14ac:dyDescent="0.25">
      <c r="E65" s="28"/>
      <c r="I65" s="28"/>
      <c r="X65" s="18"/>
      <c r="Y65" s="18"/>
      <c r="AG65" s="18"/>
      <c r="AH65" s="18"/>
      <c r="AI65" s="18"/>
    </row>
    <row r="66" spans="5:35" x14ac:dyDescent="0.25">
      <c r="E66" s="28"/>
      <c r="I66" s="28"/>
      <c r="X66" s="18"/>
      <c r="Y66" s="18"/>
      <c r="AG66" s="18"/>
      <c r="AH66" s="18"/>
      <c r="AI66" s="18"/>
    </row>
    <row r="67" spans="5:35" x14ac:dyDescent="0.25">
      <c r="E67" s="28"/>
      <c r="I67" s="28"/>
      <c r="X67" s="18"/>
      <c r="Y67" s="18"/>
      <c r="AG67" s="18"/>
      <c r="AH67" s="18"/>
      <c r="AI67" s="18"/>
    </row>
    <row r="68" spans="5:35" x14ac:dyDescent="0.25">
      <c r="E68" s="28"/>
      <c r="I68" s="28"/>
      <c r="X68" s="18"/>
      <c r="Y68" s="18"/>
      <c r="AG68" s="18"/>
      <c r="AH68" s="18"/>
      <c r="AI68" s="18"/>
    </row>
    <row r="69" spans="5:35" x14ac:dyDescent="0.25">
      <c r="E69" s="28"/>
      <c r="I69" s="28"/>
      <c r="X69" s="18"/>
      <c r="Y69" s="18"/>
      <c r="AG69" s="18"/>
      <c r="AH69" s="18"/>
      <c r="AI69" s="18"/>
    </row>
    <row r="70" spans="5:35" x14ac:dyDescent="0.25">
      <c r="E70" s="28"/>
      <c r="I70" s="28"/>
      <c r="X70" s="18"/>
      <c r="Y70" s="18"/>
      <c r="AG70" s="18"/>
      <c r="AH70" s="18"/>
      <c r="AI70" s="18"/>
    </row>
    <row r="71" spans="5:35" x14ac:dyDescent="0.25">
      <c r="E71" s="28"/>
      <c r="I71" s="28"/>
      <c r="X71" s="18"/>
      <c r="Y71" s="18"/>
      <c r="AG71" s="18"/>
      <c r="AH71" s="18"/>
      <c r="AI71" s="18"/>
    </row>
    <row r="72" spans="5:35" x14ac:dyDescent="0.25">
      <c r="E72" s="28"/>
      <c r="I72" s="28"/>
      <c r="X72" s="18"/>
      <c r="Y72" s="18"/>
      <c r="AG72" s="18"/>
      <c r="AH72" s="18"/>
      <c r="AI72" s="18"/>
    </row>
    <row r="73" spans="5:35" x14ac:dyDescent="0.25">
      <c r="E73" s="28"/>
      <c r="I73" s="28"/>
      <c r="X73" s="18"/>
      <c r="Y73" s="18"/>
      <c r="AG73" s="18"/>
      <c r="AH73" s="18"/>
      <c r="AI73" s="18"/>
    </row>
    <row r="74" spans="5:35" x14ac:dyDescent="0.25">
      <c r="E74" s="28"/>
      <c r="I74" s="28"/>
      <c r="X74" s="18"/>
      <c r="Y74" s="18"/>
      <c r="AG74" s="18"/>
      <c r="AH74" s="18"/>
      <c r="AI74" s="18"/>
    </row>
    <row r="75" spans="5:35" x14ac:dyDescent="0.25">
      <c r="E75" s="28"/>
      <c r="I75" s="28"/>
      <c r="X75" s="18"/>
      <c r="Y75" s="18"/>
      <c r="AG75" s="18"/>
      <c r="AH75" s="18"/>
      <c r="AI75" s="18"/>
    </row>
    <row r="76" spans="5:35" x14ac:dyDescent="0.25">
      <c r="E76" s="28"/>
      <c r="I76" s="28"/>
      <c r="X76" s="18"/>
      <c r="Y76" s="18"/>
      <c r="AG76" s="18"/>
      <c r="AH76" s="18"/>
      <c r="AI76" s="18"/>
    </row>
    <row r="77" spans="5:35" x14ac:dyDescent="0.25">
      <c r="E77" s="28"/>
      <c r="I77" s="28"/>
      <c r="X77" s="18"/>
      <c r="Y77" s="18"/>
      <c r="AG77" s="18"/>
      <c r="AH77" s="18"/>
      <c r="AI77" s="18"/>
    </row>
    <row r="78" spans="5:35" x14ac:dyDescent="0.25">
      <c r="E78" s="28"/>
      <c r="I78" s="28"/>
      <c r="X78" s="18"/>
      <c r="Y78" s="18"/>
      <c r="AG78" s="18"/>
      <c r="AH78" s="18"/>
      <c r="AI78" s="18"/>
    </row>
    <row r="79" spans="5:35" x14ac:dyDescent="0.25">
      <c r="E79" s="28"/>
      <c r="I79" s="28"/>
      <c r="X79" s="18"/>
      <c r="Y79" s="18"/>
      <c r="AG79" s="18"/>
      <c r="AH79" s="18"/>
      <c r="AI79" s="18"/>
    </row>
    <row r="80" spans="5:35" x14ac:dyDescent="0.25">
      <c r="E80" s="28"/>
      <c r="I80" s="28"/>
      <c r="X80" s="18"/>
      <c r="Y80" s="18"/>
      <c r="AG80" s="18"/>
      <c r="AH80" s="18"/>
      <c r="AI80" s="18"/>
    </row>
    <row r="81" spans="5:35" x14ac:dyDescent="0.25">
      <c r="E81" s="28"/>
      <c r="I81" s="28"/>
      <c r="X81" s="18"/>
      <c r="Y81" s="18"/>
      <c r="AG81" s="18"/>
      <c r="AH81" s="18"/>
      <c r="AI81" s="18"/>
    </row>
    <row r="82" spans="5:35" x14ac:dyDescent="0.25">
      <c r="E82" s="28"/>
      <c r="I82" s="28"/>
      <c r="X82" s="18"/>
      <c r="Y82" s="18"/>
      <c r="AG82" s="18"/>
      <c r="AH82" s="18"/>
      <c r="AI82" s="18"/>
    </row>
    <row r="83" spans="5:35" x14ac:dyDescent="0.25">
      <c r="E83" s="28"/>
      <c r="I83" s="28"/>
      <c r="X83" s="18"/>
      <c r="Y83" s="18"/>
      <c r="AG83" s="18"/>
      <c r="AH83" s="18"/>
      <c r="AI83" s="18"/>
    </row>
    <row r="84" spans="5:35" x14ac:dyDescent="0.25">
      <c r="E84" s="28"/>
      <c r="I84" s="28"/>
      <c r="X84" s="18"/>
      <c r="Y84" s="18"/>
      <c r="AG84" s="18"/>
      <c r="AH84" s="18"/>
      <c r="AI84" s="18"/>
    </row>
    <row r="85" spans="5:35" x14ac:dyDescent="0.25">
      <c r="E85" s="28"/>
      <c r="I85" s="28"/>
      <c r="X85" s="18"/>
      <c r="Y85" s="18"/>
      <c r="AG85" s="18"/>
      <c r="AH85" s="18"/>
      <c r="AI85" s="18"/>
    </row>
    <row r="86" spans="5:35" x14ac:dyDescent="0.25">
      <c r="E86" s="28"/>
      <c r="I86" s="28"/>
      <c r="X86" s="18"/>
      <c r="Y86" s="18"/>
      <c r="AG86" s="18"/>
      <c r="AH86" s="18"/>
      <c r="AI86" s="18"/>
    </row>
    <row r="87" spans="5:35" x14ac:dyDescent="0.25">
      <c r="E87" s="28"/>
      <c r="I87" s="28"/>
      <c r="X87" s="18"/>
      <c r="Y87" s="18"/>
      <c r="AG87" s="18"/>
      <c r="AH87" s="18"/>
      <c r="AI87" s="18"/>
    </row>
    <row r="88" spans="5:35" x14ac:dyDescent="0.25">
      <c r="E88" s="28"/>
      <c r="I88" s="28"/>
      <c r="X88" s="18"/>
      <c r="Y88" s="18"/>
      <c r="AG88" s="18"/>
      <c r="AH88" s="18"/>
      <c r="AI88" s="18"/>
    </row>
    <row r="89" spans="5:35" x14ac:dyDescent="0.25">
      <c r="E89" s="28"/>
      <c r="I89" s="28"/>
      <c r="X89" s="18"/>
      <c r="Y89" s="18"/>
      <c r="AG89" s="18"/>
      <c r="AH89" s="18"/>
      <c r="AI89" s="18"/>
    </row>
    <row r="90" spans="5:35" x14ac:dyDescent="0.25">
      <c r="E90" s="28"/>
      <c r="I90" s="28"/>
      <c r="X90" s="18"/>
      <c r="Y90" s="18"/>
      <c r="AG90" s="18"/>
      <c r="AH90" s="18"/>
      <c r="AI90" s="18"/>
    </row>
    <row r="91" spans="5:35" x14ac:dyDescent="0.25">
      <c r="E91" s="28"/>
      <c r="I91" s="28"/>
      <c r="X91" s="18"/>
      <c r="Y91" s="18"/>
      <c r="AG91" s="18"/>
      <c r="AH91" s="18"/>
      <c r="AI91" s="18"/>
    </row>
    <row r="92" spans="5:35" x14ac:dyDescent="0.25">
      <c r="E92" s="28"/>
      <c r="I92" s="28"/>
      <c r="X92" s="18"/>
      <c r="Y92" s="18"/>
      <c r="AG92" s="18"/>
      <c r="AH92" s="18"/>
      <c r="AI92" s="18"/>
    </row>
    <row r="93" spans="5:35" x14ac:dyDescent="0.25">
      <c r="E93" s="28"/>
      <c r="I93" s="28"/>
      <c r="X93" s="18"/>
      <c r="Y93" s="18"/>
      <c r="AG93" s="18"/>
      <c r="AH93" s="18"/>
      <c r="AI93" s="18"/>
    </row>
    <row r="94" spans="5:35" x14ac:dyDescent="0.25">
      <c r="E94" s="28"/>
      <c r="I94" s="28"/>
      <c r="X94" s="18"/>
      <c r="Y94" s="18"/>
      <c r="AG94" s="18"/>
      <c r="AH94" s="18"/>
      <c r="AI94" s="18"/>
    </row>
    <row r="95" spans="5:35" x14ac:dyDescent="0.25">
      <c r="E95" s="28"/>
      <c r="I95" s="28"/>
      <c r="X95" s="18"/>
      <c r="Y95" s="18"/>
      <c r="AG95" s="18"/>
      <c r="AH95" s="18"/>
      <c r="AI95" s="18"/>
    </row>
    <row r="96" spans="5:35" x14ac:dyDescent="0.25">
      <c r="E96" s="28"/>
      <c r="I96" s="28"/>
      <c r="X96" s="18"/>
      <c r="Y96" s="18"/>
      <c r="AG96" s="18"/>
      <c r="AH96" s="18"/>
      <c r="AI96" s="18"/>
    </row>
    <row r="97" spans="5:35" x14ac:dyDescent="0.25">
      <c r="E97" s="28"/>
      <c r="I97" s="28"/>
      <c r="X97" s="18"/>
      <c r="Y97" s="18"/>
      <c r="AG97" s="18"/>
      <c r="AH97" s="18"/>
      <c r="AI97" s="18"/>
    </row>
    <row r="98" spans="5:35" x14ac:dyDescent="0.25">
      <c r="E98" s="28"/>
      <c r="I98" s="28"/>
      <c r="X98" s="18"/>
      <c r="Y98" s="18"/>
      <c r="AG98" s="18"/>
      <c r="AH98" s="18"/>
      <c r="AI98" s="18"/>
    </row>
    <row r="99" spans="5:35" x14ac:dyDescent="0.25">
      <c r="E99" s="28"/>
      <c r="I99" s="28"/>
      <c r="X99" s="18"/>
      <c r="Y99" s="18"/>
      <c r="AG99" s="18"/>
      <c r="AH99" s="18"/>
      <c r="AI99" s="18"/>
    </row>
    <row r="100" spans="5:35" x14ac:dyDescent="0.25">
      <c r="E100" s="28"/>
      <c r="I100" s="28"/>
      <c r="X100" s="18"/>
      <c r="Y100" s="18"/>
      <c r="AG100" s="18"/>
      <c r="AH100" s="18"/>
      <c r="AI100" s="18"/>
    </row>
    <row r="101" spans="5:35" x14ac:dyDescent="0.25">
      <c r="E101" s="28"/>
      <c r="I101" s="28"/>
      <c r="X101" s="18"/>
      <c r="Y101" s="18"/>
      <c r="AG101" s="18"/>
      <c r="AH101" s="18"/>
      <c r="AI101" s="18"/>
    </row>
    <row r="102" spans="5:35" x14ac:dyDescent="0.25">
      <c r="E102" s="28"/>
      <c r="I102" s="28"/>
      <c r="X102" s="18"/>
      <c r="Y102" s="18"/>
      <c r="AG102" s="18"/>
      <c r="AH102" s="18"/>
      <c r="AI102" s="18"/>
    </row>
    <row r="103" spans="5:35" x14ac:dyDescent="0.25">
      <c r="E103" s="28"/>
      <c r="I103" s="28"/>
      <c r="X103" s="18"/>
      <c r="Y103" s="18"/>
      <c r="AG103" s="18"/>
      <c r="AH103" s="18"/>
      <c r="AI103" s="18"/>
    </row>
    <row r="104" spans="5:35" x14ac:dyDescent="0.25">
      <c r="E104" s="28"/>
      <c r="I104" s="28"/>
      <c r="X104" s="18"/>
      <c r="Y104" s="18"/>
      <c r="AG104" s="18"/>
      <c r="AH104" s="18"/>
      <c r="AI104" s="18"/>
    </row>
    <row r="105" spans="5:35" x14ac:dyDescent="0.25">
      <c r="E105" s="28"/>
      <c r="I105" s="28"/>
      <c r="X105" s="18"/>
      <c r="Y105" s="18"/>
      <c r="AG105" s="18"/>
      <c r="AH105" s="18"/>
      <c r="AI105" s="18"/>
    </row>
    <row r="106" spans="5:35" x14ac:dyDescent="0.25">
      <c r="E106" s="28"/>
      <c r="I106" s="28"/>
      <c r="X106" s="18"/>
      <c r="Y106" s="18"/>
      <c r="AG106" s="18"/>
      <c r="AH106" s="18"/>
      <c r="AI106" s="18"/>
    </row>
    <row r="107" spans="5:35" x14ac:dyDescent="0.25">
      <c r="E107" s="28"/>
      <c r="I107" s="28"/>
      <c r="X107" s="18"/>
      <c r="Y107" s="18"/>
      <c r="AG107" s="18"/>
      <c r="AH107" s="18"/>
      <c r="AI107" s="18"/>
    </row>
    <row r="108" spans="5:35" x14ac:dyDescent="0.25">
      <c r="E108" s="28"/>
      <c r="I108" s="28"/>
      <c r="X108" s="18"/>
      <c r="Y108" s="18"/>
      <c r="AG108" s="18"/>
      <c r="AH108" s="18"/>
      <c r="AI108" s="18"/>
    </row>
    <row r="109" spans="5:35" x14ac:dyDescent="0.25">
      <c r="E109" s="28"/>
      <c r="I109" s="28"/>
      <c r="X109" s="18"/>
      <c r="Y109" s="18"/>
      <c r="AG109" s="18"/>
      <c r="AH109" s="18"/>
      <c r="AI109" s="18"/>
    </row>
    <row r="110" spans="5:35" x14ac:dyDescent="0.25">
      <c r="E110" s="28"/>
      <c r="I110" s="28"/>
      <c r="X110" s="18"/>
      <c r="Y110" s="18"/>
      <c r="AG110" s="18"/>
      <c r="AH110" s="18"/>
      <c r="AI110" s="18"/>
    </row>
    <row r="111" spans="5:35" x14ac:dyDescent="0.25">
      <c r="E111" s="28"/>
      <c r="I111" s="28"/>
      <c r="X111" s="18"/>
      <c r="Y111" s="18"/>
      <c r="AG111" s="18"/>
      <c r="AH111" s="18"/>
      <c r="AI111" s="18"/>
    </row>
    <row r="112" spans="5:35" x14ac:dyDescent="0.25">
      <c r="E112" s="28"/>
      <c r="I112" s="28"/>
      <c r="X112" s="18"/>
      <c r="Y112" s="18"/>
      <c r="AG112" s="18"/>
      <c r="AH112" s="18"/>
      <c r="AI112" s="18"/>
    </row>
    <row r="113" spans="5:35" x14ac:dyDescent="0.25">
      <c r="E113" s="28"/>
      <c r="I113" s="28"/>
      <c r="X113" s="18"/>
      <c r="Y113" s="18"/>
      <c r="AG113" s="18"/>
      <c r="AH113" s="18"/>
      <c r="AI113" s="18"/>
    </row>
    <row r="114" spans="5:35" x14ac:dyDescent="0.25">
      <c r="E114" s="28"/>
      <c r="I114" s="28"/>
      <c r="X114" s="18"/>
      <c r="Y114" s="18"/>
      <c r="AG114" s="18"/>
      <c r="AH114" s="18"/>
      <c r="AI114" s="18"/>
    </row>
    <row r="115" spans="5:35" x14ac:dyDescent="0.25">
      <c r="E115" s="28"/>
      <c r="I115" s="28"/>
      <c r="X115" s="18"/>
      <c r="Y115" s="18"/>
      <c r="AG115" s="18"/>
      <c r="AH115" s="18"/>
      <c r="AI115" s="18"/>
    </row>
    <row r="116" spans="5:35" x14ac:dyDescent="0.25">
      <c r="E116" s="28"/>
      <c r="I116" s="28"/>
      <c r="X116" s="18"/>
      <c r="Y116" s="18"/>
      <c r="AG116" s="18"/>
      <c r="AH116" s="18"/>
      <c r="AI116" s="18"/>
    </row>
    <row r="117" spans="5:35" x14ac:dyDescent="0.25">
      <c r="E117" s="28"/>
      <c r="I117" s="28"/>
      <c r="X117" s="18"/>
      <c r="Y117" s="18"/>
      <c r="AG117" s="18"/>
      <c r="AH117" s="18"/>
      <c r="AI117" s="18"/>
    </row>
    <row r="118" spans="5:35" x14ac:dyDescent="0.25">
      <c r="E118" s="28"/>
      <c r="I118" s="28"/>
      <c r="X118" s="18"/>
      <c r="Y118" s="18"/>
      <c r="AG118" s="18"/>
      <c r="AH118" s="18"/>
      <c r="AI118" s="18"/>
    </row>
    <row r="119" spans="5:35" x14ac:dyDescent="0.25">
      <c r="E119" s="28"/>
      <c r="I119" s="28"/>
      <c r="X119" s="18"/>
      <c r="Y119" s="18"/>
      <c r="AG119" s="18"/>
      <c r="AH119" s="18"/>
      <c r="AI119" s="18"/>
    </row>
    <row r="120" spans="5:35" x14ac:dyDescent="0.25">
      <c r="E120" s="28"/>
      <c r="I120" s="28"/>
      <c r="X120" s="18"/>
      <c r="Y120" s="18"/>
      <c r="AG120" s="18"/>
      <c r="AH120" s="18"/>
      <c r="AI120" s="18"/>
    </row>
    <row r="121" spans="5:35" x14ac:dyDescent="0.25">
      <c r="E121" s="28"/>
      <c r="I121" s="28"/>
      <c r="X121" s="18"/>
      <c r="Y121" s="18"/>
      <c r="AG121" s="18"/>
      <c r="AH121" s="18"/>
      <c r="AI121" s="18"/>
    </row>
    <row r="122" spans="5:35" x14ac:dyDescent="0.25">
      <c r="E122" s="28"/>
      <c r="I122" s="28"/>
      <c r="X122" s="18"/>
      <c r="Y122" s="18"/>
      <c r="AG122" s="18"/>
      <c r="AH122" s="18"/>
      <c r="AI122" s="18"/>
    </row>
    <row r="123" spans="5:35" x14ac:dyDescent="0.25">
      <c r="E123" s="28"/>
      <c r="I123" s="28"/>
      <c r="X123" s="18"/>
      <c r="Y123" s="18"/>
      <c r="AG123" s="18"/>
      <c r="AH123" s="18"/>
      <c r="AI123" s="18"/>
    </row>
    <row r="124" spans="5:35" x14ac:dyDescent="0.25">
      <c r="E124" s="28"/>
      <c r="I124" s="28"/>
      <c r="X124" s="18"/>
      <c r="Y124" s="18"/>
      <c r="AG124" s="18"/>
      <c r="AH124" s="18"/>
      <c r="AI124" s="18"/>
    </row>
    <row r="125" spans="5:35" x14ac:dyDescent="0.25">
      <c r="E125" s="28"/>
      <c r="I125" s="28"/>
      <c r="X125" s="18"/>
      <c r="Y125" s="18"/>
      <c r="AG125" s="18"/>
      <c r="AH125" s="18"/>
      <c r="AI125" s="18"/>
    </row>
    <row r="126" spans="5:35" x14ac:dyDescent="0.25">
      <c r="E126" s="28"/>
      <c r="I126" s="28"/>
      <c r="X126" s="18"/>
      <c r="Y126" s="18"/>
      <c r="AG126" s="18"/>
      <c r="AH126" s="18"/>
      <c r="AI126" s="18"/>
    </row>
    <row r="127" spans="5:35" x14ac:dyDescent="0.25">
      <c r="E127" s="28"/>
      <c r="I127" s="28"/>
      <c r="X127" s="18"/>
      <c r="Y127" s="18"/>
      <c r="AG127" s="18"/>
      <c r="AH127" s="18"/>
      <c r="AI127" s="18"/>
    </row>
    <row r="128" spans="5:35" x14ac:dyDescent="0.25">
      <c r="E128" s="28"/>
      <c r="I128" s="28"/>
      <c r="X128" s="18"/>
      <c r="Y128" s="18"/>
      <c r="AG128" s="18"/>
      <c r="AH128" s="18"/>
      <c r="AI128" s="18"/>
    </row>
    <row r="129" spans="5:35" x14ac:dyDescent="0.25">
      <c r="E129" s="28"/>
      <c r="I129" s="28"/>
      <c r="X129" s="18"/>
      <c r="Y129" s="18"/>
      <c r="AG129" s="18"/>
      <c r="AH129" s="18"/>
      <c r="AI129" s="18"/>
    </row>
    <row r="130" spans="5:35" x14ac:dyDescent="0.25">
      <c r="E130" s="28"/>
      <c r="I130" s="28"/>
      <c r="X130" s="18"/>
      <c r="Y130" s="18"/>
      <c r="AG130" s="18"/>
      <c r="AH130" s="18"/>
      <c r="AI130" s="18"/>
    </row>
    <row r="131" spans="5:35" x14ac:dyDescent="0.25">
      <c r="E131" s="28"/>
      <c r="I131" s="28"/>
      <c r="X131" s="18"/>
      <c r="Y131" s="18"/>
      <c r="AG131" s="18"/>
      <c r="AH131" s="18"/>
      <c r="AI131" s="18"/>
    </row>
    <row r="132" spans="5:35" x14ac:dyDescent="0.25">
      <c r="E132" s="28"/>
      <c r="I132" s="28"/>
      <c r="X132" s="18"/>
      <c r="Y132" s="18"/>
      <c r="AG132" s="18"/>
      <c r="AH132" s="18"/>
      <c r="AI132" s="18"/>
    </row>
    <row r="133" spans="5:35" x14ac:dyDescent="0.25">
      <c r="E133" s="28"/>
      <c r="I133" s="28"/>
      <c r="X133" s="18"/>
      <c r="Y133" s="18"/>
      <c r="AG133" s="18"/>
      <c r="AH133" s="18"/>
      <c r="AI133" s="18"/>
    </row>
    <row r="134" spans="5:35" x14ac:dyDescent="0.25">
      <c r="E134" s="28"/>
      <c r="I134" s="28"/>
      <c r="X134" s="18"/>
      <c r="Y134" s="18"/>
      <c r="AG134" s="18"/>
      <c r="AH134" s="18"/>
      <c r="AI134" s="18"/>
    </row>
    <row r="135" spans="5:35" x14ac:dyDescent="0.25">
      <c r="E135" s="28"/>
      <c r="I135" s="28"/>
      <c r="X135" s="18"/>
      <c r="Y135" s="18"/>
      <c r="AG135" s="18"/>
      <c r="AH135" s="18"/>
      <c r="AI135" s="18"/>
    </row>
    <row r="136" spans="5:35" x14ac:dyDescent="0.25">
      <c r="E136" s="28"/>
      <c r="I136" s="28"/>
      <c r="X136" s="18"/>
      <c r="Y136" s="18"/>
      <c r="AG136" s="18"/>
      <c r="AH136" s="18"/>
      <c r="AI136" s="18"/>
    </row>
    <row r="137" spans="5:35" x14ac:dyDescent="0.25">
      <c r="E137" s="28"/>
      <c r="I137" s="28"/>
      <c r="X137" s="18"/>
      <c r="Y137" s="18"/>
      <c r="AG137" s="18"/>
      <c r="AH137" s="18"/>
      <c r="AI137" s="18"/>
    </row>
    <row r="138" spans="5:35" x14ac:dyDescent="0.25">
      <c r="E138" s="28"/>
      <c r="I138" s="28"/>
      <c r="X138" s="18"/>
      <c r="Y138" s="18"/>
      <c r="AG138" s="18"/>
      <c r="AH138" s="18"/>
      <c r="AI138" s="18"/>
    </row>
    <row r="139" spans="5:35" x14ac:dyDescent="0.25">
      <c r="E139" s="28"/>
      <c r="I139" s="28"/>
      <c r="X139" s="18"/>
      <c r="Y139" s="18"/>
      <c r="AG139" s="18"/>
      <c r="AH139" s="18"/>
      <c r="AI139" s="18"/>
    </row>
    <row r="140" spans="5:35" x14ac:dyDescent="0.25">
      <c r="E140" s="28"/>
      <c r="I140" s="28"/>
      <c r="X140" s="18"/>
      <c r="Y140" s="18"/>
      <c r="AG140" s="18"/>
      <c r="AH140" s="18"/>
      <c r="AI140" s="18"/>
    </row>
    <row r="141" spans="5:35" x14ac:dyDescent="0.25">
      <c r="E141" s="28"/>
      <c r="I141" s="28"/>
      <c r="X141" s="18"/>
      <c r="Y141" s="18"/>
      <c r="AG141" s="18"/>
      <c r="AH141" s="18"/>
      <c r="AI141" s="18"/>
    </row>
    <row r="142" spans="5:35" x14ac:dyDescent="0.25">
      <c r="E142" s="28"/>
      <c r="I142" s="28"/>
      <c r="X142" s="18"/>
      <c r="Y142" s="18"/>
      <c r="AG142" s="18"/>
      <c r="AH142" s="18"/>
      <c r="AI142" s="18"/>
    </row>
    <row r="143" spans="5:35" x14ac:dyDescent="0.25">
      <c r="E143" s="28"/>
      <c r="I143" s="28"/>
      <c r="X143" s="18"/>
      <c r="Y143" s="18"/>
      <c r="AG143" s="18"/>
      <c r="AH143" s="18"/>
      <c r="AI143" s="18"/>
    </row>
    <row r="144" spans="5:35" x14ac:dyDescent="0.25">
      <c r="E144" s="28"/>
      <c r="I144" s="28"/>
      <c r="X144" s="18"/>
      <c r="Y144" s="18"/>
      <c r="AG144" s="18"/>
      <c r="AH144" s="18"/>
      <c r="AI144" s="18"/>
    </row>
    <row r="145" spans="5:35" x14ac:dyDescent="0.25">
      <c r="E145" s="28"/>
      <c r="I145" s="28"/>
      <c r="X145" s="18"/>
      <c r="Y145" s="18"/>
      <c r="AG145" s="18"/>
      <c r="AH145" s="18"/>
      <c r="AI145" s="18"/>
    </row>
    <row r="146" spans="5:35" x14ac:dyDescent="0.25">
      <c r="E146" s="28"/>
      <c r="I146" s="28"/>
      <c r="X146" s="18"/>
      <c r="Y146" s="18"/>
      <c r="AG146" s="18"/>
      <c r="AH146" s="18"/>
      <c r="AI146" s="18"/>
    </row>
    <row r="147" spans="5:35" x14ac:dyDescent="0.25">
      <c r="E147" s="28"/>
      <c r="I147" s="28"/>
      <c r="X147" s="18"/>
      <c r="Y147" s="18"/>
      <c r="AG147" s="18"/>
      <c r="AH147" s="18"/>
      <c r="AI147" s="18"/>
    </row>
    <row r="148" spans="5:35" x14ac:dyDescent="0.25">
      <c r="E148" s="28"/>
      <c r="I148" s="28"/>
      <c r="X148" s="18"/>
      <c r="Y148" s="18"/>
      <c r="AG148" s="18"/>
      <c r="AH148" s="18"/>
      <c r="AI148" s="18"/>
    </row>
    <row r="149" spans="5:35" x14ac:dyDescent="0.25">
      <c r="E149" s="28"/>
      <c r="I149" s="28"/>
      <c r="X149" s="18"/>
      <c r="Y149" s="18"/>
      <c r="AG149" s="18"/>
      <c r="AH149" s="18"/>
      <c r="AI149" s="18"/>
    </row>
    <row r="150" spans="5:35" x14ac:dyDescent="0.25">
      <c r="E150" s="28"/>
      <c r="I150" s="28"/>
      <c r="X150" s="18"/>
      <c r="Y150" s="18"/>
      <c r="AG150" s="18"/>
      <c r="AH150" s="18"/>
      <c r="AI150" s="18"/>
    </row>
    <row r="151" spans="5:35" x14ac:dyDescent="0.25">
      <c r="E151" s="28"/>
      <c r="I151" s="28"/>
      <c r="X151" s="18"/>
      <c r="Y151" s="18"/>
      <c r="AG151" s="18"/>
      <c r="AH151" s="18"/>
      <c r="AI151" s="18"/>
    </row>
    <row r="152" spans="5:35" x14ac:dyDescent="0.25">
      <c r="E152" s="28"/>
      <c r="I152" s="28"/>
      <c r="X152" s="18"/>
      <c r="Y152" s="18"/>
      <c r="AG152" s="18"/>
      <c r="AH152" s="18"/>
      <c r="AI152" s="18"/>
    </row>
    <row r="153" spans="5:35" x14ac:dyDescent="0.25">
      <c r="E153" s="28"/>
      <c r="I153" s="28"/>
      <c r="X153" s="18"/>
      <c r="Y153" s="18"/>
      <c r="AG153" s="18"/>
      <c r="AH153" s="18"/>
      <c r="AI153" s="18"/>
    </row>
    <row r="154" spans="5:35" x14ac:dyDescent="0.25">
      <c r="E154" s="28"/>
      <c r="I154" s="28"/>
      <c r="X154" s="18"/>
      <c r="Y154" s="18"/>
      <c r="AG154" s="18"/>
      <c r="AH154" s="18"/>
      <c r="AI154" s="18"/>
    </row>
    <row r="155" spans="5:35" x14ac:dyDescent="0.25">
      <c r="E155" s="28"/>
      <c r="I155" s="28"/>
      <c r="X155" s="18"/>
      <c r="Y155" s="18"/>
      <c r="AG155" s="18"/>
      <c r="AH155" s="18"/>
      <c r="AI155" s="18"/>
    </row>
    <row r="156" spans="5:35" x14ac:dyDescent="0.25">
      <c r="E156" s="28"/>
      <c r="I156" s="28"/>
      <c r="X156" s="18"/>
      <c r="Y156" s="18"/>
      <c r="AG156" s="18"/>
      <c r="AH156" s="18"/>
      <c r="AI156" s="18"/>
    </row>
    <row r="157" spans="5:35" x14ac:dyDescent="0.25">
      <c r="E157" s="28"/>
      <c r="I157" s="28"/>
      <c r="X157" s="18"/>
      <c r="Y157" s="18"/>
      <c r="AG157" s="18"/>
      <c r="AH157" s="18"/>
      <c r="AI157" s="18"/>
    </row>
    <row r="158" spans="5:35" x14ac:dyDescent="0.25">
      <c r="E158" s="28"/>
      <c r="I158" s="28"/>
      <c r="X158" s="18"/>
      <c r="Y158" s="18"/>
      <c r="AG158" s="18"/>
      <c r="AH158" s="18"/>
      <c r="AI158" s="18"/>
    </row>
    <row r="159" spans="5:35" x14ac:dyDescent="0.25">
      <c r="E159" s="28"/>
      <c r="I159" s="28"/>
      <c r="X159" s="18"/>
      <c r="Y159" s="18"/>
      <c r="AG159" s="18"/>
      <c r="AH159" s="18"/>
      <c r="AI159" s="18"/>
    </row>
    <row r="160" spans="5:35" x14ac:dyDescent="0.25">
      <c r="E160" s="28"/>
      <c r="I160" s="28"/>
      <c r="X160" s="18"/>
      <c r="Y160" s="18"/>
      <c r="AG160" s="18"/>
      <c r="AH160" s="18"/>
      <c r="AI160" s="18"/>
    </row>
    <row r="161" spans="5:35" x14ac:dyDescent="0.25">
      <c r="E161" s="28"/>
      <c r="I161" s="28"/>
      <c r="X161" s="18"/>
      <c r="Y161" s="18"/>
      <c r="AG161" s="18"/>
      <c r="AH161" s="18"/>
      <c r="AI161" s="18"/>
    </row>
    <row r="162" spans="5:35" x14ac:dyDescent="0.25">
      <c r="E162" s="28"/>
      <c r="I162" s="28"/>
      <c r="X162" s="18"/>
      <c r="Y162" s="18"/>
      <c r="AG162" s="18"/>
      <c r="AH162" s="18"/>
      <c r="AI162" s="18"/>
    </row>
    <row r="163" spans="5:35" x14ac:dyDescent="0.25">
      <c r="E163" s="28"/>
      <c r="I163" s="28"/>
      <c r="X163" s="18"/>
      <c r="Y163" s="18"/>
      <c r="AG163" s="18"/>
      <c r="AH163" s="18"/>
      <c r="AI163" s="18"/>
    </row>
    <row r="164" spans="5:35" x14ac:dyDescent="0.25">
      <c r="E164" s="28"/>
      <c r="I164" s="28"/>
      <c r="X164" s="18"/>
      <c r="Y164" s="18"/>
      <c r="AG164" s="18"/>
      <c r="AH164" s="18"/>
      <c r="AI164" s="18"/>
    </row>
    <row r="165" spans="5:35" x14ac:dyDescent="0.25">
      <c r="E165" s="28"/>
      <c r="I165" s="28"/>
      <c r="X165" s="18"/>
      <c r="Y165" s="18"/>
      <c r="AG165" s="18"/>
      <c r="AH165" s="18"/>
      <c r="AI165" s="18"/>
    </row>
    <row r="166" spans="5:35" x14ac:dyDescent="0.25">
      <c r="E166" s="28"/>
      <c r="I166" s="28"/>
      <c r="X166" s="18"/>
      <c r="Y166" s="18"/>
      <c r="AG166" s="18"/>
      <c r="AH166" s="18"/>
      <c r="AI166" s="18"/>
    </row>
    <row r="167" spans="5:35" x14ac:dyDescent="0.25">
      <c r="E167" s="28"/>
      <c r="I167" s="28"/>
      <c r="X167" s="18"/>
      <c r="Y167" s="18"/>
      <c r="AG167" s="18"/>
      <c r="AH167" s="18"/>
      <c r="AI167" s="18"/>
    </row>
    <row r="168" spans="5:35" x14ac:dyDescent="0.25">
      <c r="E168" s="28"/>
      <c r="I168" s="28"/>
      <c r="X168" s="18"/>
      <c r="Y168" s="18"/>
      <c r="AG168" s="18"/>
      <c r="AH168" s="18"/>
      <c r="AI168" s="18"/>
    </row>
    <row r="169" spans="5:35" x14ac:dyDescent="0.25">
      <c r="E169" s="28"/>
      <c r="I169" s="28"/>
      <c r="X169" s="18"/>
      <c r="Y169" s="18"/>
      <c r="AG169" s="18"/>
      <c r="AH169" s="18"/>
      <c r="AI169" s="18"/>
    </row>
    <row r="170" spans="5:35" x14ac:dyDescent="0.25">
      <c r="E170" s="28"/>
      <c r="I170" s="28"/>
      <c r="X170" s="18"/>
      <c r="Y170" s="18"/>
      <c r="AG170" s="18"/>
      <c r="AH170" s="18"/>
      <c r="AI170" s="18"/>
    </row>
    <row r="171" spans="5:35" x14ac:dyDescent="0.25">
      <c r="E171" s="28"/>
      <c r="I171" s="28"/>
      <c r="X171" s="18"/>
      <c r="Y171" s="18"/>
      <c r="AG171" s="18"/>
      <c r="AH171" s="18"/>
      <c r="AI171" s="18"/>
    </row>
    <row r="172" spans="5:35" x14ac:dyDescent="0.25">
      <c r="E172" s="28"/>
      <c r="I172" s="28"/>
      <c r="X172" s="18"/>
      <c r="Y172" s="18"/>
      <c r="AG172" s="18"/>
      <c r="AH172" s="18"/>
      <c r="AI172" s="18"/>
    </row>
    <row r="173" spans="5:35" x14ac:dyDescent="0.25">
      <c r="E173" s="28"/>
      <c r="I173" s="28"/>
      <c r="X173" s="18"/>
      <c r="Y173" s="18"/>
      <c r="AG173" s="18"/>
      <c r="AH173" s="18"/>
      <c r="AI173" s="18"/>
    </row>
    <row r="174" spans="5:35" x14ac:dyDescent="0.25">
      <c r="E174" s="28"/>
      <c r="I174" s="28"/>
      <c r="X174" s="18"/>
      <c r="Y174" s="18"/>
      <c r="AG174" s="18"/>
      <c r="AH174" s="18"/>
      <c r="AI174" s="18"/>
    </row>
    <row r="175" spans="5:35" x14ac:dyDescent="0.25">
      <c r="E175" s="28"/>
      <c r="I175" s="28"/>
      <c r="X175" s="18"/>
      <c r="Y175" s="18"/>
      <c r="AG175" s="18"/>
      <c r="AH175" s="18"/>
      <c r="AI175" s="18"/>
    </row>
    <row r="176" spans="5:35" x14ac:dyDescent="0.25">
      <c r="E176" s="28"/>
      <c r="I176" s="28"/>
      <c r="X176" s="18"/>
      <c r="Y176" s="18"/>
      <c r="AG176" s="18"/>
      <c r="AH176" s="18"/>
      <c r="AI176" s="18"/>
    </row>
    <row r="177" spans="5:35" x14ac:dyDescent="0.25">
      <c r="E177" s="28"/>
      <c r="I177" s="28"/>
      <c r="X177" s="18"/>
      <c r="Y177" s="18"/>
      <c r="AG177" s="18"/>
      <c r="AH177" s="18"/>
      <c r="AI177" s="18"/>
    </row>
    <row r="178" spans="5:35" x14ac:dyDescent="0.25">
      <c r="E178" s="28"/>
      <c r="I178" s="28"/>
      <c r="X178" s="18"/>
      <c r="Y178" s="18"/>
      <c r="AG178" s="18"/>
      <c r="AH178" s="18"/>
      <c r="AI178" s="18"/>
    </row>
    <row r="179" spans="5:35" x14ac:dyDescent="0.25">
      <c r="E179" s="28"/>
      <c r="I179" s="28"/>
      <c r="X179" s="18"/>
      <c r="Y179" s="18"/>
      <c r="AG179" s="18"/>
      <c r="AH179" s="18"/>
      <c r="AI179" s="18"/>
    </row>
    <row r="180" spans="5:35" x14ac:dyDescent="0.25">
      <c r="E180" s="28"/>
      <c r="I180" s="28"/>
      <c r="X180" s="18"/>
      <c r="Y180" s="18"/>
      <c r="AG180" s="18"/>
      <c r="AH180" s="18"/>
      <c r="AI180" s="18"/>
    </row>
    <row r="181" spans="5:35" x14ac:dyDescent="0.25">
      <c r="E181" s="28"/>
      <c r="I181" s="28"/>
      <c r="X181" s="18"/>
      <c r="Y181" s="18"/>
      <c r="AG181" s="18"/>
      <c r="AH181" s="18"/>
      <c r="AI181" s="18"/>
    </row>
    <row r="182" spans="5:35" x14ac:dyDescent="0.25">
      <c r="E182" s="28"/>
      <c r="I182" s="28"/>
      <c r="X182" s="18"/>
      <c r="Y182" s="18"/>
      <c r="AG182" s="18"/>
      <c r="AH182" s="18"/>
      <c r="AI182" s="18"/>
    </row>
    <row r="183" spans="5:35" x14ac:dyDescent="0.25">
      <c r="E183" s="28"/>
      <c r="I183" s="28"/>
      <c r="X183" s="18"/>
      <c r="Y183" s="18"/>
      <c r="AG183" s="18"/>
      <c r="AH183" s="18"/>
      <c r="AI183" s="18"/>
    </row>
    <row r="184" spans="5:35" x14ac:dyDescent="0.25">
      <c r="E184" s="28"/>
      <c r="I184" s="28"/>
      <c r="X184" s="18"/>
      <c r="Y184" s="18"/>
      <c r="AG184" s="18"/>
      <c r="AH184" s="18"/>
      <c r="AI184" s="18"/>
    </row>
    <row r="185" spans="5:35" x14ac:dyDescent="0.25">
      <c r="E185" s="28"/>
      <c r="I185" s="28"/>
      <c r="X185" s="18"/>
      <c r="Y185" s="18"/>
      <c r="AG185" s="18"/>
      <c r="AH185" s="18"/>
      <c r="AI185" s="18"/>
    </row>
    <row r="186" spans="5:35" x14ac:dyDescent="0.25">
      <c r="E186" s="28"/>
      <c r="I186" s="28"/>
      <c r="X186" s="18"/>
      <c r="Y186" s="18"/>
      <c r="AG186" s="18"/>
      <c r="AH186" s="18"/>
      <c r="AI186" s="18"/>
    </row>
    <row r="187" spans="5:35" x14ac:dyDescent="0.25">
      <c r="E187" s="28"/>
      <c r="I187" s="28"/>
      <c r="X187" s="18"/>
      <c r="Y187" s="18"/>
      <c r="AG187" s="18"/>
      <c r="AH187" s="18"/>
      <c r="AI187" s="18"/>
    </row>
    <row r="188" spans="5:35" x14ac:dyDescent="0.25">
      <c r="E188" s="28"/>
      <c r="I188" s="28"/>
      <c r="X188" s="18"/>
      <c r="Y188" s="18"/>
      <c r="AG188" s="18"/>
      <c r="AH188" s="18"/>
      <c r="AI188" s="18"/>
    </row>
    <row r="189" spans="5:35" x14ac:dyDescent="0.25">
      <c r="E189" s="28"/>
      <c r="I189" s="28"/>
      <c r="X189" s="18"/>
      <c r="Y189" s="18"/>
      <c r="AG189" s="18"/>
      <c r="AH189" s="18"/>
      <c r="AI189" s="18"/>
    </row>
    <row r="190" spans="5:35" x14ac:dyDescent="0.25">
      <c r="E190" s="28"/>
      <c r="I190" s="28"/>
      <c r="X190" s="18"/>
      <c r="Y190" s="18"/>
      <c r="AG190" s="18"/>
      <c r="AH190" s="18"/>
      <c r="AI190" s="18"/>
    </row>
    <row r="191" spans="5:35" x14ac:dyDescent="0.25">
      <c r="E191" s="28"/>
      <c r="I191" s="28"/>
      <c r="X191" s="18"/>
      <c r="Y191" s="18"/>
      <c r="AG191" s="18"/>
      <c r="AH191" s="18"/>
      <c r="AI191" s="18"/>
    </row>
    <row r="192" spans="5:35" x14ac:dyDescent="0.25">
      <c r="E192" s="28"/>
      <c r="I192" s="28"/>
      <c r="X192" s="18"/>
      <c r="Y192" s="18"/>
      <c r="AG192" s="18"/>
      <c r="AH192" s="18"/>
      <c r="AI192" s="18"/>
    </row>
    <row r="193" spans="5:35" x14ac:dyDescent="0.25">
      <c r="E193" s="28"/>
      <c r="I193" s="28"/>
      <c r="X193" s="18"/>
      <c r="Y193" s="18"/>
      <c r="AG193" s="18"/>
      <c r="AH193" s="18"/>
      <c r="AI193" s="18"/>
    </row>
    <row r="194" spans="5:35" x14ac:dyDescent="0.25">
      <c r="E194" s="28"/>
      <c r="I194" s="28"/>
      <c r="X194" s="18"/>
      <c r="Y194" s="18"/>
      <c r="AG194" s="18"/>
      <c r="AH194" s="18"/>
      <c r="AI194" s="18"/>
    </row>
    <row r="195" spans="5:35" x14ac:dyDescent="0.25">
      <c r="E195" s="28"/>
      <c r="I195" s="28"/>
      <c r="X195" s="18"/>
      <c r="Y195" s="18"/>
      <c r="AG195" s="18"/>
      <c r="AH195" s="18"/>
      <c r="AI195" s="18"/>
    </row>
    <row r="196" spans="5:35" x14ac:dyDescent="0.25">
      <c r="E196" s="28"/>
      <c r="I196" s="28"/>
      <c r="X196" s="18"/>
      <c r="Y196" s="18"/>
      <c r="AG196" s="18"/>
      <c r="AH196" s="18"/>
      <c r="AI196" s="18"/>
    </row>
    <row r="197" spans="5:35" x14ac:dyDescent="0.25">
      <c r="E197" s="28"/>
      <c r="I197" s="28"/>
      <c r="X197" s="18"/>
      <c r="Y197" s="18"/>
      <c r="AG197" s="18"/>
      <c r="AH197" s="18"/>
      <c r="AI197" s="18"/>
    </row>
    <row r="198" spans="5:35" x14ac:dyDescent="0.25">
      <c r="E198" s="28"/>
      <c r="I198" s="28"/>
      <c r="X198" s="18"/>
      <c r="Y198" s="18"/>
      <c r="AG198" s="18"/>
      <c r="AH198" s="18"/>
      <c r="AI198" s="18"/>
    </row>
    <row r="199" spans="5:35" x14ac:dyDescent="0.25">
      <c r="E199" s="28"/>
      <c r="I199" s="28"/>
      <c r="X199" s="18"/>
      <c r="Y199" s="18"/>
      <c r="AG199" s="18"/>
      <c r="AH199" s="18"/>
      <c r="AI199" s="18"/>
    </row>
    <row r="200" spans="5:35" x14ac:dyDescent="0.25">
      <c r="E200" s="28"/>
      <c r="I200" s="28"/>
      <c r="X200" s="18"/>
      <c r="Y200" s="18"/>
      <c r="AG200" s="18"/>
      <c r="AH200" s="18"/>
      <c r="AI200" s="18"/>
    </row>
    <row r="201" spans="5:35" x14ac:dyDescent="0.25">
      <c r="E201" s="28"/>
      <c r="I201" s="28"/>
      <c r="X201" s="18"/>
      <c r="Y201" s="18"/>
      <c r="AG201" s="18"/>
      <c r="AH201" s="18"/>
      <c r="AI201" s="18"/>
    </row>
    <row r="202" spans="5:35" x14ac:dyDescent="0.25">
      <c r="E202" s="28"/>
      <c r="I202" s="28"/>
      <c r="X202" s="18"/>
      <c r="Y202" s="18"/>
      <c r="AG202" s="18"/>
      <c r="AH202" s="18"/>
      <c r="AI202" s="18"/>
    </row>
    <row r="203" spans="5:35" x14ac:dyDescent="0.25">
      <c r="E203" s="28"/>
      <c r="I203" s="28"/>
      <c r="X203" s="18"/>
      <c r="Y203" s="18"/>
      <c r="AG203" s="18"/>
      <c r="AH203" s="18"/>
      <c r="AI203" s="18"/>
    </row>
    <row r="204" spans="5:35" x14ac:dyDescent="0.25">
      <c r="E204" s="28"/>
      <c r="I204" s="28"/>
      <c r="X204" s="18"/>
      <c r="Y204" s="18"/>
      <c r="AG204" s="18"/>
      <c r="AH204" s="18"/>
      <c r="AI204" s="18"/>
    </row>
    <row r="205" spans="5:35" x14ac:dyDescent="0.25">
      <c r="E205" s="28"/>
      <c r="I205" s="28"/>
      <c r="X205" s="18"/>
      <c r="Y205" s="18"/>
      <c r="AG205" s="18"/>
      <c r="AH205" s="18"/>
      <c r="AI205" s="18"/>
    </row>
    <row r="206" spans="5:35" x14ac:dyDescent="0.25">
      <c r="E206" s="28"/>
      <c r="I206" s="28"/>
      <c r="X206" s="18"/>
      <c r="Y206" s="18"/>
      <c r="AG206" s="18"/>
      <c r="AH206" s="18"/>
      <c r="AI206" s="18"/>
    </row>
    <row r="207" spans="5:35" x14ac:dyDescent="0.25">
      <c r="E207" s="28"/>
      <c r="I207" s="28"/>
      <c r="X207" s="18"/>
      <c r="Y207" s="18"/>
      <c r="AG207" s="18"/>
      <c r="AH207" s="18"/>
      <c r="AI207" s="18"/>
    </row>
    <row r="208" spans="5:35" x14ac:dyDescent="0.25">
      <c r="E208" s="28"/>
      <c r="I208" s="28"/>
      <c r="X208" s="18"/>
      <c r="Y208" s="18"/>
      <c r="AG208" s="18"/>
      <c r="AH208" s="18"/>
      <c r="AI208" s="18"/>
    </row>
    <row r="209" spans="5:35" x14ac:dyDescent="0.25">
      <c r="E209" s="28"/>
      <c r="I209" s="28"/>
      <c r="X209" s="18"/>
      <c r="Y209" s="18"/>
      <c r="AG209" s="18"/>
      <c r="AH209" s="18"/>
      <c r="AI209" s="18"/>
    </row>
    <row r="210" spans="5:35" x14ac:dyDescent="0.25">
      <c r="E210" s="28"/>
      <c r="I210" s="28"/>
      <c r="X210" s="18"/>
      <c r="Y210" s="18"/>
      <c r="AG210" s="18"/>
      <c r="AH210" s="18"/>
      <c r="AI210" s="18"/>
    </row>
    <row r="211" spans="5:35" x14ac:dyDescent="0.25">
      <c r="E211" s="28"/>
      <c r="I211" s="28"/>
      <c r="X211" s="18"/>
      <c r="Y211" s="18"/>
      <c r="AG211" s="18"/>
      <c r="AH211" s="18"/>
      <c r="AI211" s="18"/>
    </row>
    <row r="212" spans="5:35" x14ac:dyDescent="0.25">
      <c r="E212" s="28"/>
      <c r="I212" s="28"/>
      <c r="X212" s="18"/>
      <c r="Y212" s="18"/>
      <c r="AG212" s="18"/>
      <c r="AH212" s="18"/>
      <c r="AI212" s="18"/>
    </row>
    <row r="213" spans="5:35" x14ac:dyDescent="0.25">
      <c r="E213" s="28"/>
      <c r="I213" s="28"/>
      <c r="X213" s="18"/>
      <c r="Y213" s="18"/>
      <c r="AG213" s="18"/>
      <c r="AH213" s="18"/>
      <c r="AI213" s="18"/>
    </row>
    <row r="214" spans="5:35" x14ac:dyDescent="0.25">
      <c r="E214" s="28"/>
      <c r="I214" s="28"/>
      <c r="X214" s="18"/>
      <c r="Y214" s="18"/>
      <c r="AG214" s="18"/>
      <c r="AH214" s="18"/>
      <c r="AI214" s="18"/>
    </row>
    <row r="215" spans="5:35" x14ac:dyDescent="0.25">
      <c r="E215" s="28"/>
      <c r="I215" s="28"/>
      <c r="X215" s="18"/>
      <c r="Y215" s="18"/>
      <c r="AG215" s="18"/>
      <c r="AH215" s="18"/>
      <c r="AI215" s="18"/>
    </row>
    <row r="216" spans="5:35" x14ac:dyDescent="0.25">
      <c r="E216" s="28"/>
      <c r="I216" s="28"/>
      <c r="X216" s="18"/>
      <c r="Y216" s="18"/>
      <c r="AG216" s="18"/>
      <c r="AH216" s="18"/>
      <c r="AI216" s="18"/>
    </row>
    <row r="217" spans="5:35" x14ac:dyDescent="0.25">
      <c r="E217" s="28"/>
      <c r="I217" s="28"/>
      <c r="X217" s="18"/>
      <c r="Y217" s="18"/>
      <c r="AG217" s="18"/>
      <c r="AH217" s="18"/>
      <c r="AI217" s="18"/>
    </row>
    <row r="218" spans="5:35" x14ac:dyDescent="0.25">
      <c r="E218" s="28"/>
      <c r="I218" s="28"/>
      <c r="X218" s="18"/>
      <c r="Y218" s="18"/>
      <c r="AG218" s="18"/>
      <c r="AH218" s="18"/>
      <c r="AI218" s="18"/>
    </row>
    <row r="219" spans="5:35" x14ac:dyDescent="0.25">
      <c r="E219" s="28"/>
      <c r="I219" s="28"/>
      <c r="X219" s="18"/>
      <c r="Y219" s="18"/>
      <c r="AG219" s="18"/>
      <c r="AH219" s="18"/>
      <c r="AI219" s="18"/>
    </row>
    <row r="220" spans="5:35" x14ac:dyDescent="0.25">
      <c r="E220" s="28"/>
      <c r="I220" s="28"/>
      <c r="X220" s="18"/>
      <c r="Y220" s="18"/>
      <c r="AG220" s="18"/>
      <c r="AH220" s="18"/>
      <c r="AI220" s="18"/>
    </row>
    <row r="221" spans="5:35" x14ac:dyDescent="0.25">
      <c r="E221" s="28"/>
      <c r="I221" s="28"/>
      <c r="X221" s="18"/>
      <c r="Y221" s="18"/>
      <c r="AG221" s="18"/>
      <c r="AH221" s="18"/>
      <c r="AI221" s="18"/>
    </row>
    <row r="222" spans="5:35" x14ac:dyDescent="0.25">
      <c r="E222" s="28"/>
      <c r="I222" s="28"/>
      <c r="X222" s="18"/>
      <c r="Y222" s="18"/>
      <c r="AG222" s="18"/>
      <c r="AH222" s="18"/>
      <c r="AI222" s="18"/>
    </row>
    <row r="223" spans="5:35" x14ac:dyDescent="0.25">
      <c r="E223" s="28"/>
      <c r="I223" s="28"/>
      <c r="X223" s="18"/>
      <c r="Y223" s="18"/>
      <c r="AG223" s="18"/>
      <c r="AH223" s="18"/>
      <c r="AI223" s="18"/>
    </row>
    <row r="224" spans="5:35" x14ac:dyDescent="0.25">
      <c r="E224" s="28"/>
      <c r="I224" s="28"/>
      <c r="X224" s="18"/>
      <c r="Y224" s="18"/>
      <c r="AG224" s="18"/>
      <c r="AH224" s="18"/>
      <c r="AI224" s="18"/>
    </row>
    <row r="225" spans="5:35" x14ac:dyDescent="0.25">
      <c r="E225" s="28"/>
      <c r="I225" s="28"/>
      <c r="X225" s="18"/>
      <c r="Y225" s="18"/>
      <c r="AG225" s="18"/>
      <c r="AH225" s="18"/>
      <c r="AI225" s="18"/>
    </row>
    <row r="226" spans="5:35" x14ac:dyDescent="0.25">
      <c r="E226" s="28"/>
      <c r="I226" s="28"/>
      <c r="X226" s="18"/>
      <c r="Y226" s="18"/>
      <c r="AG226" s="18"/>
      <c r="AH226" s="18"/>
      <c r="AI226" s="18"/>
    </row>
    <row r="227" spans="5:35" x14ac:dyDescent="0.25">
      <c r="E227" s="28"/>
      <c r="I227" s="28"/>
      <c r="X227" s="18"/>
      <c r="Y227" s="18"/>
      <c r="AG227" s="18"/>
      <c r="AH227" s="18"/>
      <c r="AI227" s="18"/>
    </row>
    <row r="228" spans="5:35" x14ac:dyDescent="0.25">
      <c r="E228" s="28"/>
      <c r="I228" s="28"/>
      <c r="X228" s="18"/>
      <c r="Y228" s="18"/>
      <c r="AG228" s="18"/>
      <c r="AH228" s="18"/>
      <c r="AI228" s="18"/>
    </row>
    <row r="229" spans="5:35" x14ac:dyDescent="0.25">
      <c r="E229" s="28"/>
      <c r="I229" s="28"/>
      <c r="X229" s="18"/>
      <c r="Y229" s="18"/>
      <c r="AG229" s="18"/>
      <c r="AH229" s="18"/>
      <c r="AI229" s="18"/>
    </row>
    <row r="230" spans="5:35" x14ac:dyDescent="0.25">
      <c r="E230" s="28"/>
      <c r="I230" s="28"/>
      <c r="X230" s="18"/>
      <c r="Y230" s="18"/>
      <c r="AG230" s="18"/>
      <c r="AH230" s="18"/>
      <c r="AI230" s="18"/>
    </row>
    <row r="231" spans="5:35" x14ac:dyDescent="0.25">
      <c r="E231" s="28"/>
      <c r="I231" s="28"/>
      <c r="X231" s="18"/>
      <c r="Y231" s="18"/>
      <c r="AG231" s="18"/>
      <c r="AH231" s="18"/>
      <c r="AI231" s="18"/>
    </row>
    <row r="232" spans="5:35" x14ac:dyDescent="0.25">
      <c r="E232" s="28"/>
      <c r="I232" s="28"/>
      <c r="X232" s="18"/>
      <c r="Y232" s="18"/>
      <c r="AG232" s="18"/>
      <c r="AH232" s="18"/>
      <c r="AI232" s="18"/>
    </row>
    <row r="233" spans="5:35" x14ac:dyDescent="0.25">
      <c r="E233" s="28"/>
      <c r="I233" s="28"/>
      <c r="X233" s="18"/>
      <c r="Y233" s="18"/>
      <c r="AG233" s="18"/>
      <c r="AH233" s="18"/>
      <c r="AI233" s="18"/>
    </row>
    <row r="234" spans="5:35" x14ac:dyDescent="0.25">
      <c r="E234" s="28"/>
      <c r="I234" s="28"/>
      <c r="X234" s="18"/>
      <c r="Y234" s="18"/>
      <c r="AG234" s="18"/>
      <c r="AH234" s="18"/>
      <c r="AI234" s="18"/>
    </row>
    <row r="235" spans="5:35" x14ac:dyDescent="0.25">
      <c r="E235" s="28"/>
      <c r="I235" s="28"/>
      <c r="X235" s="18"/>
      <c r="Y235" s="18"/>
      <c r="AG235" s="18"/>
      <c r="AH235" s="18"/>
      <c r="AI235" s="18"/>
    </row>
    <row r="236" spans="5:35" x14ac:dyDescent="0.25">
      <c r="E236" s="28"/>
      <c r="I236" s="28"/>
      <c r="X236" s="18"/>
      <c r="Y236" s="18"/>
      <c r="AG236" s="18"/>
      <c r="AH236" s="18"/>
      <c r="AI236" s="18"/>
    </row>
    <row r="237" spans="5:35" x14ac:dyDescent="0.25">
      <c r="E237" s="28"/>
      <c r="I237" s="28"/>
      <c r="X237" s="18"/>
      <c r="Y237" s="18"/>
      <c r="AG237" s="18"/>
      <c r="AH237" s="18"/>
      <c r="AI237" s="18"/>
    </row>
    <row r="238" spans="5:35" x14ac:dyDescent="0.25">
      <c r="E238" s="28"/>
      <c r="I238" s="28"/>
      <c r="X238" s="18"/>
      <c r="Y238" s="18"/>
      <c r="AG238" s="18"/>
      <c r="AH238" s="18"/>
      <c r="AI238" s="18"/>
    </row>
    <row r="239" spans="5:35" x14ac:dyDescent="0.25">
      <c r="E239" s="28"/>
      <c r="I239" s="28"/>
      <c r="X239" s="18"/>
      <c r="Y239" s="18"/>
      <c r="AG239" s="18"/>
      <c r="AH239" s="18"/>
      <c r="AI239" s="18"/>
    </row>
    <row r="240" spans="5:35" x14ac:dyDescent="0.25">
      <c r="E240" s="28"/>
      <c r="I240" s="28"/>
      <c r="X240" s="18"/>
      <c r="Y240" s="18"/>
      <c r="AG240" s="18"/>
      <c r="AH240" s="18"/>
      <c r="AI240" s="18"/>
    </row>
    <row r="241" spans="5:35" x14ac:dyDescent="0.25">
      <c r="E241" s="28"/>
      <c r="I241" s="28"/>
      <c r="X241" s="18"/>
      <c r="Y241" s="18"/>
      <c r="AG241" s="18"/>
      <c r="AH241" s="18"/>
      <c r="AI241" s="18"/>
    </row>
    <row r="242" spans="5:35" x14ac:dyDescent="0.25">
      <c r="E242" s="28"/>
      <c r="I242" s="28"/>
      <c r="X242" s="18"/>
      <c r="Y242" s="18"/>
      <c r="AG242" s="18"/>
      <c r="AH242" s="18"/>
      <c r="AI242" s="18"/>
    </row>
    <row r="243" spans="5:35" x14ac:dyDescent="0.25">
      <c r="E243" s="28"/>
      <c r="I243" s="28"/>
      <c r="X243" s="18"/>
      <c r="Y243" s="18"/>
      <c r="AG243" s="18"/>
      <c r="AH243" s="18"/>
      <c r="AI243" s="18"/>
    </row>
    <row r="244" spans="5:35" x14ac:dyDescent="0.25">
      <c r="E244" s="28"/>
      <c r="I244" s="28"/>
      <c r="X244" s="18"/>
      <c r="Y244" s="18"/>
      <c r="AG244" s="18"/>
      <c r="AH244" s="18"/>
      <c r="AI244" s="18"/>
    </row>
    <row r="245" spans="5:35" x14ac:dyDescent="0.25">
      <c r="E245" s="28"/>
      <c r="I245" s="28"/>
      <c r="X245" s="18"/>
      <c r="Y245" s="18"/>
      <c r="AG245" s="18"/>
      <c r="AH245" s="18"/>
      <c r="AI245" s="18"/>
    </row>
    <row r="246" spans="5:35" x14ac:dyDescent="0.25">
      <c r="E246" s="28"/>
      <c r="I246" s="28"/>
      <c r="X246" s="18"/>
      <c r="Y246" s="18"/>
      <c r="AG246" s="18"/>
      <c r="AH246" s="18"/>
      <c r="AI246" s="18"/>
    </row>
    <row r="247" spans="5:35" x14ac:dyDescent="0.25">
      <c r="E247" s="28"/>
      <c r="I247" s="28"/>
      <c r="X247" s="18"/>
      <c r="Y247" s="18"/>
      <c r="AG247" s="18"/>
      <c r="AH247" s="18"/>
      <c r="AI247" s="18"/>
    </row>
    <row r="248" spans="5:35" x14ac:dyDescent="0.25">
      <c r="E248" s="28"/>
      <c r="I248" s="28"/>
      <c r="X248" s="18"/>
      <c r="Y248" s="18"/>
      <c r="AG248" s="18"/>
      <c r="AH248" s="18"/>
      <c r="AI248" s="18"/>
    </row>
    <row r="249" spans="5:35" x14ac:dyDescent="0.25">
      <c r="E249" s="28"/>
      <c r="I249" s="28"/>
      <c r="X249" s="18"/>
      <c r="Y249" s="18"/>
      <c r="AG249" s="18"/>
      <c r="AH249" s="18"/>
      <c r="AI249" s="18"/>
    </row>
    <row r="250" spans="5:35" x14ac:dyDescent="0.25">
      <c r="E250" s="28"/>
      <c r="I250" s="28"/>
      <c r="X250" s="18"/>
      <c r="Y250" s="18"/>
      <c r="AG250" s="18"/>
      <c r="AH250" s="18"/>
      <c r="AI250" s="18"/>
    </row>
    <row r="251" spans="5:35" x14ac:dyDescent="0.25">
      <c r="E251" s="28"/>
      <c r="I251" s="28"/>
      <c r="X251" s="18"/>
      <c r="Y251" s="18"/>
      <c r="AG251" s="18"/>
      <c r="AH251" s="18"/>
      <c r="AI251" s="18"/>
    </row>
    <row r="252" spans="5:35" x14ac:dyDescent="0.25">
      <c r="E252" s="28"/>
      <c r="I252" s="28"/>
      <c r="X252" s="18"/>
      <c r="Y252" s="18"/>
      <c r="AG252" s="18"/>
      <c r="AH252" s="18"/>
      <c r="AI252" s="18"/>
    </row>
    <row r="253" spans="5:35" x14ac:dyDescent="0.25">
      <c r="E253" s="28"/>
      <c r="I253" s="28"/>
      <c r="X253" s="18"/>
      <c r="Y253" s="18"/>
      <c r="AG253" s="18"/>
      <c r="AH253" s="18"/>
      <c r="AI253" s="18"/>
    </row>
    <row r="254" spans="5:35" x14ac:dyDescent="0.25">
      <c r="E254" s="28"/>
      <c r="I254" s="28"/>
      <c r="X254" s="18"/>
      <c r="Y254" s="18"/>
      <c r="AG254" s="18"/>
      <c r="AH254" s="18"/>
      <c r="AI254" s="18"/>
    </row>
    <row r="255" spans="5:35" x14ac:dyDescent="0.25">
      <c r="E255" s="28"/>
      <c r="I255" s="28"/>
      <c r="X255" s="18"/>
      <c r="Y255" s="18"/>
      <c r="AG255" s="18"/>
      <c r="AH255" s="18"/>
      <c r="AI255" s="18"/>
    </row>
    <row r="256" spans="5:35" x14ac:dyDescent="0.25">
      <c r="E256" s="28"/>
      <c r="I256" s="28"/>
      <c r="X256" s="18"/>
      <c r="Y256" s="18"/>
      <c r="AG256" s="18"/>
      <c r="AH256" s="18"/>
      <c r="AI256" s="18"/>
    </row>
    <row r="257" spans="5:35" x14ac:dyDescent="0.25">
      <c r="E257" s="28"/>
      <c r="I257" s="28"/>
      <c r="X257" s="18"/>
      <c r="Y257" s="18"/>
      <c r="AG257" s="18"/>
      <c r="AH257" s="18"/>
      <c r="AI257" s="18"/>
    </row>
    <row r="258" spans="5:35" x14ac:dyDescent="0.25">
      <c r="E258" s="28"/>
      <c r="I258" s="28"/>
      <c r="X258" s="18"/>
      <c r="Y258" s="18"/>
      <c r="AG258" s="18"/>
      <c r="AH258" s="18"/>
      <c r="AI258" s="18"/>
    </row>
    <row r="259" spans="5:35" x14ac:dyDescent="0.25">
      <c r="E259" s="28"/>
      <c r="I259" s="28"/>
      <c r="X259" s="18"/>
      <c r="Y259" s="18"/>
      <c r="AG259" s="18"/>
      <c r="AH259" s="18"/>
      <c r="AI259" s="18"/>
    </row>
    <row r="260" spans="5:35" x14ac:dyDescent="0.25">
      <c r="E260" s="28"/>
      <c r="I260" s="28"/>
      <c r="X260" s="18"/>
      <c r="Y260" s="18"/>
      <c r="AG260" s="18"/>
      <c r="AH260" s="18"/>
      <c r="AI260" s="18"/>
    </row>
    <row r="261" spans="5:35" x14ac:dyDescent="0.25">
      <c r="E261" s="28"/>
      <c r="I261" s="28"/>
      <c r="X261" s="18"/>
      <c r="Y261" s="18"/>
      <c r="AG261" s="18"/>
      <c r="AH261" s="18"/>
      <c r="AI261" s="18"/>
    </row>
    <row r="262" spans="5:35" x14ac:dyDescent="0.25">
      <c r="E262" s="28"/>
      <c r="I262" s="28"/>
      <c r="X262" s="18"/>
      <c r="Y262" s="18"/>
      <c r="AG262" s="18"/>
      <c r="AH262" s="18"/>
      <c r="AI262" s="18"/>
    </row>
    <row r="263" spans="5:35" x14ac:dyDescent="0.25">
      <c r="E263" s="28"/>
      <c r="I263" s="28"/>
      <c r="X263" s="18"/>
      <c r="Y263" s="18"/>
      <c r="AG263" s="18"/>
      <c r="AH263" s="18"/>
      <c r="AI263" s="18"/>
    </row>
    <row r="264" spans="5:35" x14ac:dyDescent="0.25">
      <c r="E264" s="28"/>
      <c r="I264" s="28"/>
      <c r="X264" s="18"/>
      <c r="Y264" s="18"/>
      <c r="AG264" s="18"/>
      <c r="AH264" s="18"/>
      <c r="AI264" s="18"/>
    </row>
    <row r="265" spans="5:35" x14ac:dyDescent="0.25">
      <c r="E265" s="28"/>
      <c r="I265" s="28"/>
      <c r="X265" s="18"/>
      <c r="Y265" s="18"/>
      <c r="AG265" s="18"/>
      <c r="AH265" s="18"/>
      <c r="AI265" s="18"/>
    </row>
    <row r="266" spans="5:35" x14ac:dyDescent="0.25">
      <c r="E266" s="28"/>
      <c r="I266" s="28"/>
      <c r="X266" s="18"/>
      <c r="Y266" s="18"/>
      <c r="AG266" s="18"/>
      <c r="AH266" s="18"/>
      <c r="AI266" s="18"/>
    </row>
    <row r="267" spans="5:35" x14ac:dyDescent="0.25">
      <c r="E267" s="28"/>
      <c r="I267" s="28"/>
      <c r="X267" s="18"/>
      <c r="Y267" s="18"/>
      <c r="AG267" s="18"/>
      <c r="AH267" s="18"/>
      <c r="AI267" s="18"/>
    </row>
    <row r="268" spans="5:35" x14ac:dyDescent="0.25">
      <c r="E268" s="28"/>
      <c r="I268" s="28"/>
      <c r="X268" s="18"/>
      <c r="Y268" s="18"/>
      <c r="AG268" s="18"/>
      <c r="AH268" s="18"/>
      <c r="AI268" s="18"/>
    </row>
    <row r="269" spans="5:35" x14ac:dyDescent="0.25">
      <c r="E269" s="28"/>
      <c r="I269" s="28"/>
      <c r="X269" s="18"/>
      <c r="Y269" s="18"/>
      <c r="AG269" s="18"/>
      <c r="AH269" s="18"/>
      <c r="AI269" s="18"/>
    </row>
    <row r="270" spans="5:35" x14ac:dyDescent="0.25">
      <c r="E270" s="28"/>
      <c r="I270" s="28"/>
      <c r="X270" s="18"/>
      <c r="Y270" s="18"/>
      <c r="AG270" s="18"/>
      <c r="AH270" s="18"/>
      <c r="AI270" s="18"/>
    </row>
    <row r="271" spans="5:35" x14ac:dyDescent="0.25">
      <c r="E271" s="28"/>
      <c r="I271" s="28"/>
      <c r="X271" s="18"/>
      <c r="Y271" s="18"/>
      <c r="AG271" s="18"/>
      <c r="AH271" s="18"/>
      <c r="AI271" s="18"/>
    </row>
    <row r="272" spans="5:35" x14ac:dyDescent="0.25">
      <c r="E272" s="28"/>
      <c r="I272" s="28"/>
      <c r="X272" s="18"/>
      <c r="Y272" s="18"/>
      <c r="AG272" s="18"/>
      <c r="AH272" s="18"/>
      <c r="AI272" s="18"/>
    </row>
    <row r="273" spans="5:35" x14ac:dyDescent="0.25">
      <c r="E273" s="28"/>
      <c r="I273" s="28"/>
      <c r="X273" s="18"/>
      <c r="Y273" s="18"/>
      <c r="AG273" s="18"/>
      <c r="AH273" s="18"/>
      <c r="AI273" s="18"/>
    </row>
    <row r="274" spans="5:35" x14ac:dyDescent="0.25">
      <c r="E274" s="28"/>
      <c r="I274" s="28"/>
      <c r="X274" s="18"/>
      <c r="Y274" s="18"/>
      <c r="AG274" s="18"/>
      <c r="AH274" s="18"/>
      <c r="AI274" s="18"/>
    </row>
    <row r="275" spans="5:35" x14ac:dyDescent="0.25">
      <c r="E275" s="28"/>
      <c r="I275" s="28"/>
      <c r="X275" s="18"/>
      <c r="Y275" s="18"/>
      <c r="AG275" s="18"/>
      <c r="AH275" s="18"/>
      <c r="AI275" s="18"/>
    </row>
    <row r="276" spans="5:35" x14ac:dyDescent="0.25">
      <c r="E276" s="28"/>
      <c r="I276" s="28"/>
      <c r="X276" s="18"/>
      <c r="Y276" s="18"/>
      <c r="AG276" s="18"/>
      <c r="AH276" s="18"/>
      <c r="AI276" s="18"/>
    </row>
    <row r="277" spans="5:35" x14ac:dyDescent="0.25">
      <c r="E277" s="28"/>
      <c r="I277" s="28"/>
      <c r="X277" s="18"/>
      <c r="Y277" s="18"/>
      <c r="AG277" s="18"/>
      <c r="AH277" s="18"/>
      <c r="AI277" s="18"/>
    </row>
    <row r="278" spans="5:35" x14ac:dyDescent="0.25">
      <c r="E278" s="28"/>
      <c r="I278" s="28"/>
      <c r="X278" s="18"/>
      <c r="Y278" s="18"/>
      <c r="AG278" s="18"/>
      <c r="AH278" s="18"/>
      <c r="AI278" s="18"/>
    </row>
    <row r="279" spans="5:35" x14ac:dyDescent="0.25">
      <c r="E279" s="28"/>
      <c r="I279" s="28"/>
      <c r="X279" s="18"/>
      <c r="Y279" s="18"/>
      <c r="AG279" s="18"/>
      <c r="AH279" s="18"/>
      <c r="AI279" s="18"/>
    </row>
    <row r="280" spans="5:35" x14ac:dyDescent="0.25">
      <c r="E280" s="28"/>
      <c r="I280" s="28"/>
      <c r="X280" s="18"/>
      <c r="Y280" s="18"/>
      <c r="AG280" s="18"/>
      <c r="AH280" s="18"/>
      <c r="AI280" s="18"/>
    </row>
    <row r="281" spans="5:35" x14ac:dyDescent="0.25">
      <c r="E281" s="28"/>
      <c r="I281" s="28"/>
      <c r="X281" s="18"/>
      <c r="Y281" s="18"/>
      <c r="AG281" s="18"/>
      <c r="AH281" s="18"/>
      <c r="AI281" s="18"/>
    </row>
    <row r="282" spans="5:35" x14ac:dyDescent="0.25">
      <c r="E282" s="28"/>
      <c r="I282" s="28"/>
      <c r="X282" s="18"/>
      <c r="Y282" s="18"/>
      <c r="AG282" s="18"/>
      <c r="AH282" s="18"/>
      <c r="AI282" s="18"/>
    </row>
    <row r="283" spans="5:35" x14ac:dyDescent="0.25">
      <c r="E283" s="28"/>
      <c r="I283" s="28"/>
      <c r="X283" s="18"/>
      <c r="Y283" s="18"/>
      <c r="AG283" s="18"/>
      <c r="AH283" s="18"/>
      <c r="AI283" s="18"/>
    </row>
    <row r="284" spans="5:35" x14ac:dyDescent="0.25">
      <c r="E284" s="28"/>
      <c r="I284" s="28"/>
      <c r="X284" s="18"/>
      <c r="Y284" s="18"/>
      <c r="AG284" s="18"/>
      <c r="AH284" s="18"/>
      <c r="AI284" s="18"/>
    </row>
    <row r="285" spans="5:35" x14ac:dyDescent="0.25">
      <c r="E285" s="28"/>
      <c r="I285" s="28"/>
      <c r="X285" s="18"/>
      <c r="Y285" s="18"/>
      <c r="AG285" s="18"/>
      <c r="AH285" s="18"/>
      <c r="AI285" s="18"/>
    </row>
    <row r="286" spans="5:35" x14ac:dyDescent="0.25">
      <c r="E286" s="28"/>
      <c r="I286" s="28"/>
      <c r="X286" s="18"/>
      <c r="Y286" s="18"/>
      <c r="AG286" s="18"/>
      <c r="AH286" s="18"/>
      <c r="AI286" s="18"/>
    </row>
    <row r="287" spans="5:35" x14ac:dyDescent="0.25">
      <c r="E287" s="28"/>
      <c r="I287" s="28"/>
      <c r="X287" s="18"/>
      <c r="Y287" s="18"/>
      <c r="AG287" s="18"/>
      <c r="AH287" s="18"/>
      <c r="AI287" s="18"/>
    </row>
    <row r="288" spans="5:35" x14ac:dyDescent="0.25">
      <c r="E288" s="28"/>
      <c r="I288" s="28"/>
      <c r="X288" s="18"/>
      <c r="Y288" s="18"/>
      <c r="AG288" s="18"/>
      <c r="AH288" s="18"/>
      <c r="AI288" s="18"/>
    </row>
    <row r="289" spans="5:35" x14ac:dyDescent="0.25">
      <c r="E289" s="28"/>
      <c r="I289" s="28"/>
      <c r="X289" s="18"/>
      <c r="Y289" s="18"/>
      <c r="AG289" s="18"/>
      <c r="AH289" s="18"/>
      <c r="AI289" s="18"/>
    </row>
    <row r="290" spans="5:35" x14ac:dyDescent="0.25">
      <c r="E290" s="28"/>
      <c r="I290" s="28"/>
      <c r="X290" s="18"/>
      <c r="Y290" s="18"/>
      <c r="AG290" s="18"/>
      <c r="AH290" s="18"/>
      <c r="AI290" s="18"/>
    </row>
    <row r="291" spans="5:35" x14ac:dyDescent="0.25">
      <c r="E291" s="28"/>
      <c r="I291" s="28"/>
      <c r="X291" s="18"/>
      <c r="Y291" s="18"/>
      <c r="AG291" s="18"/>
      <c r="AH291" s="18"/>
      <c r="AI291" s="18"/>
    </row>
    <row r="292" spans="5:35" x14ac:dyDescent="0.25">
      <c r="E292" s="28"/>
      <c r="I292" s="28"/>
      <c r="X292" s="18"/>
      <c r="Y292" s="18"/>
      <c r="AG292" s="18"/>
      <c r="AH292" s="18"/>
      <c r="AI292" s="18"/>
    </row>
    <row r="293" spans="5:35" x14ac:dyDescent="0.25">
      <c r="E293" s="28"/>
      <c r="I293" s="28"/>
      <c r="X293" s="18"/>
      <c r="Y293" s="18"/>
      <c r="AG293" s="18"/>
      <c r="AH293" s="18"/>
      <c r="AI293" s="18"/>
    </row>
    <row r="294" spans="5:35" x14ac:dyDescent="0.25">
      <c r="E294" s="28"/>
      <c r="I294" s="28"/>
      <c r="X294" s="18"/>
      <c r="Y294" s="18"/>
      <c r="AG294" s="18"/>
      <c r="AH294" s="18"/>
      <c r="AI294" s="18"/>
    </row>
    <row r="295" spans="5:35" x14ac:dyDescent="0.25">
      <c r="E295" s="28"/>
      <c r="I295" s="28"/>
      <c r="X295" s="18"/>
      <c r="Y295" s="18"/>
      <c r="AG295" s="18"/>
      <c r="AH295" s="18"/>
      <c r="AI295" s="18"/>
    </row>
    <row r="296" spans="5:35" x14ac:dyDescent="0.25">
      <c r="E296" s="28"/>
      <c r="I296" s="28"/>
      <c r="X296" s="18"/>
      <c r="Y296" s="18"/>
      <c r="AG296" s="18"/>
      <c r="AH296" s="18"/>
      <c r="AI296" s="18"/>
    </row>
    <row r="297" spans="5:35" x14ac:dyDescent="0.25">
      <c r="E297" s="28"/>
      <c r="I297" s="28"/>
      <c r="X297" s="18"/>
      <c r="Y297" s="18"/>
      <c r="AG297" s="18"/>
      <c r="AH297" s="18"/>
      <c r="AI297" s="18"/>
    </row>
    <row r="298" spans="5:35" x14ac:dyDescent="0.25">
      <c r="E298" s="28"/>
      <c r="I298" s="28"/>
      <c r="X298" s="18"/>
      <c r="Y298" s="18"/>
      <c r="AG298" s="18"/>
      <c r="AH298" s="18"/>
      <c r="AI298" s="18"/>
    </row>
    <row r="299" spans="5:35" x14ac:dyDescent="0.25">
      <c r="E299" s="28"/>
      <c r="I299" s="28"/>
      <c r="X299" s="18"/>
      <c r="Y299" s="18"/>
      <c r="AG299" s="18"/>
      <c r="AH299" s="18"/>
      <c r="AI299" s="18"/>
    </row>
    <row r="300" spans="5:35" x14ac:dyDescent="0.25">
      <c r="E300" s="28"/>
      <c r="I300" s="28"/>
      <c r="X300" s="18"/>
      <c r="Y300" s="18"/>
      <c r="AG300" s="18"/>
      <c r="AH300" s="18"/>
      <c r="AI300" s="18"/>
    </row>
    <row r="301" spans="5:35" x14ac:dyDescent="0.25">
      <c r="E301" s="28"/>
      <c r="I301" s="28"/>
      <c r="X301" s="18"/>
      <c r="Y301" s="18"/>
      <c r="AG301" s="18"/>
      <c r="AH301" s="18"/>
      <c r="AI301" s="18"/>
    </row>
    <row r="302" spans="5:35" x14ac:dyDescent="0.25">
      <c r="E302" s="28"/>
      <c r="I302" s="28"/>
      <c r="X302" s="18"/>
      <c r="Y302" s="18"/>
      <c r="AG302" s="18"/>
      <c r="AH302" s="18"/>
      <c r="AI302" s="18"/>
    </row>
    <row r="303" spans="5:35" x14ac:dyDescent="0.25">
      <c r="E303" s="28"/>
      <c r="I303" s="28"/>
      <c r="X303" s="18"/>
      <c r="Y303" s="18"/>
      <c r="AG303" s="18"/>
      <c r="AH303" s="18"/>
      <c r="AI303" s="18"/>
    </row>
    <row r="304" spans="5:35" x14ac:dyDescent="0.25">
      <c r="E304" s="28"/>
      <c r="I304" s="28"/>
      <c r="X304" s="18"/>
      <c r="Y304" s="18"/>
      <c r="AG304" s="18"/>
      <c r="AH304" s="18"/>
      <c r="AI304" s="18"/>
    </row>
    <row r="305" spans="5:35" x14ac:dyDescent="0.25">
      <c r="E305" s="28"/>
      <c r="I305" s="28"/>
      <c r="X305" s="18"/>
      <c r="Y305" s="18"/>
      <c r="AG305" s="18"/>
      <c r="AH305" s="18"/>
      <c r="AI305" s="18"/>
    </row>
    <row r="306" spans="5:35" x14ac:dyDescent="0.25">
      <c r="E306" s="28"/>
      <c r="I306" s="28"/>
      <c r="X306" s="18"/>
      <c r="Y306" s="18"/>
      <c r="AG306" s="18"/>
      <c r="AH306" s="18"/>
      <c r="AI306" s="18"/>
    </row>
    <row r="307" spans="5:35" x14ac:dyDescent="0.25">
      <c r="E307" s="28"/>
      <c r="I307" s="28"/>
      <c r="X307" s="18"/>
      <c r="Y307" s="18"/>
      <c r="AG307" s="18"/>
      <c r="AH307" s="18"/>
      <c r="AI307" s="18"/>
    </row>
    <row r="308" spans="5:35" x14ac:dyDescent="0.25">
      <c r="E308" s="28"/>
      <c r="I308" s="28"/>
      <c r="X308" s="18"/>
      <c r="Y308" s="18"/>
      <c r="AG308" s="18"/>
      <c r="AH308" s="18"/>
      <c r="AI308" s="18"/>
    </row>
    <row r="309" spans="5:35" x14ac:dyDescent="0.25">
      <c r="E309" s="28"/>
      <c r="I309" s="28"/>
      <c r="X309" s="18"/>
      <c r="Y309" s="18"/>
      <c r="AG309" s="18"/>
      <c r="AH309" s="18"/>
      <c r="AI309" s="18"/>
    </row>
    <row r="310" spans="5:35" x14ac:dyDescent="0.25">
      <c r="E310" s="28"/>
      <c r="I310" s="28"/>
      <c r="X310" s="18"/>
      <c r="Y310" s="18"/>
      <c r="AG310" s="18"/>
      <c r="AH310" s="18"/>
      <c r="AI310" s="18"/>
    </row>
    <row r="311" spans="5:35" x14ac:dyDescent="0.25">
      <c r="E311" s="28"/>
      <c r="I311" s="28"/>
      <c r="X311" s="18"/>
      <c r="Y311" s="18"/>
      <c r="AG311" s="18"/>
      <c r="AH311" s="18"/>
      <c r="AI311" s="18"/>
    </row>
    <row r="312" spans="5:35" x14ac:dyDescent="0.25">
      <c r="E312" s="28"/>
      <c r="I312" s="28"/>
      <c r="X312" s="18"/>
      <c r="Y312" s="18"/>
      <c r="AG312" s="18"/>
      <c r="AH312" s="18"/>
      <c r="AI312" s="18"/>
    </row>
    <row r="313" spans="5:35" x14ac:dyDescent="0.25">
      <c r="E313" s="28"/>
      <c r="I313" s="28"/>
      <c r="X313" s="18"/>
      <c r="Y313" s="18"/>
      <c r="AG313" s="18"/>
      <c r="AH313" s="18"/>
      <c r="AI313" s="18"/>
    </row>
    <row r="314" spans="5:35" x14ac:dyDescent="0.25">
      <c r="E314" s="28"/>
      <c r="I314" s="28"/>
      <c r="X314" s="18"/>
      <c r="Y314" s="18"/>
      <c r="AG314" s="18"/>
      <c r="AH314" s="18"/>
      <c r="AI314" s="18"/>
    </row>
    <row r="315" spans="5:35" x14ac:dyDescent="0.25">
      <c r="E315" s="28"/>
      <c r="I315" s="28"/>
      <c r="X315" s="18"/>
      <c r="Y315" s="18"/>
      <c r="AG315" s="18"/>
      <c r="AH315" s="18"/>
      <c r="AI315" s="18"/>
    </row>
    <row r="316" spans="5:35" x14ac:dyDescent="0.25">
      <c r="E316" s="28"/>
      <c r="I316" s="28"/>
      <c r="X316" s="18"/>
      <c r="Y316" s="18"/>
      <c r="AG316" s="18"/>
      <c r="AH316" s="18"/>
      <c r="AI316" s="18"/>
    </row>
    <row r="317" spans="5:35" x14ac:dyDescent="0.25">
      <c r="E317" s="28"/>
      <c r="I317" s="28"/>
      <c r="X317" s="18"/>
      <c r="Y317" s="18"/>
      <c r="AG317" s="18"/>
      <c r="AH317" s="18"/>
      <c r="AI317" s="18"/>
    </row>
    <row r="318" spans="5:35" x14ac:dyDescent="0.25">
      <c r="E318" s="28"/>
      <c r="I318" s="28"/>
      <c r="X318" s="18"/>
      <c r="Y318" s="18"/>
      <c r="AG318" s="18"/>
      <c r="AH318" s="18"/>
      <c r="AI318" s="18"/>
    </row>
    <row r="319" spans="5:35" x14ac:dyDescent="0.25">
      <c r="E319" s="28"/>
      <c r="I319" s="28"/>
      <c r="X319" s="18"/>
      <c r="Y319" s="18"/>
      <c r="AG319" s="18"/>
      <c r="AH319" s="18"/>
      <c r="AI319" s="18"/>
    </row>
    <row r="320" spans="5:35" x14ac:dyDescent="0.25">
      <c r="E320" s="28"/>
      <c r="I320" s="28"/>
      <c r="X320" s="18"/>
      <c r="Y320" s="18"/>
      <c r="AG320" s="18"/>
      <c r="AH320" s="18"/>
      <c r="AI320" s="18"/>
    </row>
    <row r="321" spans="5:35" x14ac:dyDescent="0.25">
      <c r="E321" s="28"/>
      <c r="I321" s="28"/>
      <c r="X321" s="18"/>
      <c r="Y321" s="18"/>
      <c r="AG321" s="18"/>
      <c r="AH321" s="18"/>
      <c r="AI321" s="18"/>
    </row>
    <row r="322" spans="5:35" x14ac:dyDescent="0.25">
      <c r="E322" s="28"/>
      <c r="I322" s="28"/>
      <c r="X322" s="18"/>
      <c r="Y322" s="18"/>
      <c r="AG322" s="18"/>
      <c r="AH322" s="18"/>
      <c r="AI322" s="18"/>
    </row>
    <row r="323" spans="5:35" x14ac:dyDescent="0.25">
      <c r="E323" s="28"/>
      <c r="I323" s="28"/>
      <c r="X323" s="18"/>
      <c r="Y323" s="18"/>
      <c r="AG323" s="18"/>
      <c r="AH323" s="18"/>
      <c r="AI323" s="18"/>
    </row>
    <row r="324" spans="5:35" x14ac:dyDescent="0.25">
      <c r="E324" s="28"/>
      <c r="I324" s="28"/>
      <c r="X324" s="18"/>
      <c r="Y324" s="18"/>
      <c r="AG324" s="18"/>
      <c r="AH324" s="18"/>
      <c r="AI324" s="18"/>
    </row>
    <row r="325" spans="5:35" x14ac:dyDescent="0.25">
      <c r="E325" s="28"/>
      <c r="I325" s="28"/>
      <c r="X325" s="18"/>
      <c r="Y325" s="18"/>
      <c r="AG325" s="18"/>
      <c r="AH325" s="18"/>
      <c r="AI325" s="18"/>
    </row>
    <row r="326" spans="5:35" x14ac:dyDescent="0.25">
      <c r="E326" s="28"/>
      <c r="I326" s="28"/>
      <c r="X326" s="18"/>
      <c r="Y326" s="18"/>
      <c r="AG326" s="18"/>
      <c r="AH326" s="18"/>
      <c r="AI326" s="18"/>
    </row>
    <row r="327" spans="5:35" x14ac:dyDescent="0.25">
      <c r="E327" s="28"/>
      <c r="I327" s="28"/>
      <c r="X327" s="18"/>
      <c r="Y327" s="18"/>
      <c r="AG327" s="18"/>
      <c r="AH327" s="18"/>
      <c r="AI327" s="18"/>
    </row>
    <row r="328" spans="5:35" x14ac:dyDescent="0.25">
      <c r="E328" s="28"/>
      <c r="I328" s="28"/>
      <c r="X328" s="18"/>
      <c r="Y328" s="18"/>
      <c r="AG328" s="18"/>
      <c r="AH328" s="18"/>
      <c r="AI328" s="18"/>
    </row>
    <row r="329" spans="5:35" x14ac:dyDescent="0.25">
      <c r="E329" s="28"/>
      <c r="I329" s="28"/>
      <c r="X329" s="18"/>
      <c r="Y329" s="18"/>
      <c r="AG329" s="18"/>
      <c r="AH329" s="18"/>
      <c r="AI329" s="18"/>
    </row>
    <row r="330" spans="5:35" x14ac:dyDescent="0.25">
      <c r="E330" s="28"/>
      <c r="I330" s="28"/>
      <c r="X330" s="18"/>
      <c r="Y330" s="18"/>
      <c r="AG330" s="18"/>
      <c r="AH330" s="18"/>
      <c r="AI330" s="18"/>
    </row>
    <row r="331" spans="5:35" x14ac:dyDescent="0.25">
      <c r="E331" s="28"/>
      <c r="I331" s="28"/>
      <c r="X331" s="18"/>
      <c r="Y331" s="18"/>
      <c r="AG331" s="18"/>
      <c r="AH331" s="18"/>
      <c r="AI331" s="18"/>
    </row>
    <row r="332" spans="5:35" x14ac:dyDescent="0.25">
      <c r="E332" s="28"/>
      <c r="I332" s="28"/>
      <c r="X332" s="18"/>
      <c r="Y332" s="18"/>
      <c r="AG332" s="18"/>
      <c r="AH332" s="18"/>
      <c r="AI332" s="18"/>
    </row>
    <row r="333" spans="5:35" x14ac:dyDescent="0.25">
      <c r="E333" s="28"/>
      <c r="I333" s="28"/>
      <c r="X333" s="18"/>
      <c r="Y333" s="18"/>
      <c r="AG333" s="18"/>
      <c r="AH333" s="18"/>
      <c r="AI333" s="18"/>
    </row>
    <row r="334" spans="5:35" x14ac:dyDescent="0.25">
      <c r="E334" s="28"/>
      <c r="I334" s="28"/>
      <c r="X334" s="18"/>
      <c r="Y334" s="18"/>
      <c r="AG334" s="18"/>
      <c r="AH334" s="18"/>
      <c r="AI334" s="18"/>
    </row>
    <row r="335" spans="5:35" x14ac:dyDescent="0.25">
      <c r="E335" s="28"/>
      <c r="I335" s="28"/>
      <c r="X335" s="18"/>
      <c r="Y335" s="18"/>
      <c r="AG335" s="18"/>
      <c r="AH335" s="18"/>
      <c r="AI335" s="18"/>
    </row>
    <row r="336" spans="5:35" x14ac:dyDescent="0.25">
      <c r="E336" s="28"/>
      <c r="I336" s="28"/>
      <c r="X336" s="18"/>
      <c r="Y336" s="18"/>
      <c r="AG336" s="18"/>
      <c r="AH336" s="18"/>
      <c r="AI336" s="18"/>
    </row>
    <row r="337" spans="5:35" x14ac:dyDescent="0.25">
      <c r="E337" s="28"/>
      <c r="I337" s="28"/>
      <c r="X337" s="18"/>
      <c r="Y337" s="18"/>
      <c r="AG337" s="18"/>
      <c r="AH337" s="18"/>
      <c r="AI337" s="18"/>
    </row>
    <row r="338" spans="5:35" x14ac:dyDescent="0.25">
      <c r="E338" s="28"/>
      <c r="I338" s="28"/>
      <c r="X338" s="18"/>
      <c r="Y338" s="18"/>
      <c r="AG338" s="18"/>
      <c r="AH338" s="18"/>
      <c r="AI338" s="18"/>
    </row>
    <row r="339" spans="5:35" x14ac:dyDescent="0.25">
      <c r="E339" s="28"/>
      <c r="I339" s="28"/>
      <c r="X339" s="18"/>
      <c r="Y339" s="18"/>
      <c r="AG339" s="18"/>
      <c r="AH339" s="18"/>
      <c r="AI339" s="18"/>
    </row>
    <row r="340" spans="5:35" x14ac:dyDescent="0.25">
      <c r="E340" s="28"/>
      <c r="I340" s="28"/>
      <c r="X340" s="18"/>
      <c r="Y340" s="18"/>
      <c r="AG340" s="18"/>
      <c r="AH340" s="18"/>
      <c r="AI340" s="18"/>
    </row>
    <row r="341" spans="5:35" x14ac:dyDescent="0.25">
      <c r="E341" s="28"/>
      <c r="I341" s="28"/>
      <c r="X341" s="18"/>
      <c r="Y341" s="18"/>
      <c r="AG341" s="18"/>
      <c r="AH341" s="18"/>
      <c r="AI341" s="18"/>
    </row>
    <row r="342" spans="5:35" x14ac:dyDescent="0.25">
      <c r="E342" s="28"/>
      <c r="I342" s="28"/>
      <c r="X342" s="18"/>
      <c r="Y342" s="18"/>
      <c r="AG342" s="18"/>
      <c r="AH342" s="18"/>
      <c r="AI342" s="18"/>
    </row>
    <row r="343" spans="5:35" x14ac:dyDescent="0.25">
      <c r="E343" s="28"/>
      <c r="I343" s="28"/>
      <c r="X343" s="18"/>
      <c r="Y343" s="18"/>
      <c r="AG343" s="18"/>
      <c r="AH343" s="18"/>
      <c r="AI343" s="18"/>
    </row>
    <row r="344" spans="5:35" x14ac:dyDescent="0.25">
      <c r="E344" s="28"/>
      <c r="I344" s="28"/>
      <c r="X344" s="18"/>
      <c r="Y344" s="18"/>
      <c r="AG344" s="18"/>
      <c r="AH344" s="18"/>
      <c r="AI344" s="18"/>
    </row>
    <row r="345" spans="5:35" x14ac:dyDescent="0.25">
      <c r="E345" s="28"/>
      <c r="I345" s="28"/>
      <c r="X345" s="18"/>
      <c r="Y345" s="18"/>
      <c r="AG345" s="18"/>
      <c r="AH345" s="18"/>
      <c r="AI345" s="18"/>
    </row>
    <row r="346" spans="5:35" x14ac:dyDescent="0.25">
      <c r="E346" s="28"/>
      <c r="I346" s="28"/>
      <c r="X346" s="18"/>
      <c r="Y346" s="18"/>
      <c r="AG346" s="18"/>
      <c r="AH346" s="18"/>
      <c r="AI346" s="18"/>
    </row>
    <row r="347" spans="5:35" x14ac:dyDescent="0.25">
      <c r="E347" s="28"/>
      <c r="I347" s="28"/>
      <c r="X347" s="18"/>
      <c r="Y347" s="18"/>
      <c r="AG347" s="18"/>
      <c r="AH347" s="18"/>
      <c r="AI347" s="18"/>
    </row>
    <row r="348" spans="5:35" x14ac:dyDescent="0.25">
      <c r="E348" s="28"/>
      <c r="I348" s="28"/>
      <c r="X348" s="18"/>
      <c r="Y348" s="18"/>
      <c r="AG348" s="18"/>
      <c r="AH348" s="18"/>
      <c r="AI348" s="18"/>
    </row>
    <row r="349" spans="5:35" x14ac:dyDescent="0.25">
      <c r="E349" s="28"/>
      <c r="I349" s="28"/>
      <c r="X349" s="18"/>
      <c r="Y349" s="18"/>
      <c r="AG349" s="18"/>
      <c r="AH349" s="18"/>
      <c r="AI349" s="18"/>
    </row>
    <row r="350" spans="5:35" x14ac:dyDescent="0.25">
      <c r="E350" s="28"/>
      <c r="I350" s="28"/>
      <c r="X350" s="18"/>
      <c r="Y350" s="18"/>
      <c r="AG350" s="18"/>
      <c r="AH350" s="18"/>
      <c r="AI350" s="18"/>
    </row>
    <row r="351" spans="5:35" x14ac:dyDescent="0.25">
      <c r="E351" s="28"/>
      <c r="I351" s="28"/>
      <c r="X351" s="18"/>
      <c r="Y351" s="18"/>
      <c r="AG351" s="18"/>
      <c r="AH351" s="18"/>
      <c r="AI351" s="18"/>
    </row>
    <row r="352" spans="5:35" x14ac:dyDescent="0.25">
      <c r="E352" s="28"/>
      <c r="I352" s="28"/>
      <c r="X352" s="18"/>
      <c r="Y352" s="18"/>
      <c r="AG352" s="18"/>
      <c r="AH352" s="18"/>
      <c r="AI352" s="18"/>
    </row>
    <row r="353" spans="5:35" x14ac:dyDescent="0.25">
      <c r="E353" s="28"/>
      <c r="I353" s="28"/>
      <c r="X353" s="18"/>
      <c r="Y353" s="18"/>
      <c r="AG353" s="18"/>
      <c r="AH353" s="18"/>
      <c r="AI353" s="18"/>
    </row>
    <row r="354" spans="5:35" x14ac:dyDescent="0.25">
      <c r="E354" s="28"/>
      <c r="I354" s="28"/>
      <c r="X354" s="18"/>
      <c r="Y354" s="18"/>
      <c r="AG354" s="18"/>
      <c r="AH354" s="18"/>
      <c r="AI354" s="18"/>
    </row>
    <row r="355" spans="5:35" x14ac:dyDescent="0.25">
      <c r="E355" s="28"/>
      <c r="I355" s="28"/>
      <c r="X355" s="18"/>
      <c r="Y355" s="18"/>
      <c r="AG355" s="18"/>
      <c r="AH355" s="18"/>
      <c r="AI355" s="18"/>
    </row>
    <row r="356" spans="5:35" x14ac:dyDescent="0.25">
      <c r="E356" s="28"/>
      <c r="I356" s="28"/>
      <c r="X356" s="18"/>
      <c r="Y356" s="18"/>
      <c r="AG356" s="18"/>
      <c r="AH356" s="18"/>
      <c r="AI356" s="18"/>
    </row>
    <row r="357" spans="5:35" x14ac:dyDescent="0.25">
      <c r="E357" s="28"/>
      <c r="I357" s="28"/>
      <c r="X357" s="18"/>
      <c r="Y357" s="18"/>
      <c r="AG357" s="18"/>
      <c r="AH357" s="18"/>
      <c r="AI357" s="18"/>
    </row>
    <row r="358" spans="5:35" x14ac:dyDescent="0.25">
      <c r="E358" s="28"/>
      <c r="I358" s="28"/>
      <c r="X358" s="18"/>
      <c r="Y358" s="18"/>
      <c r="AG358" s="18"/>
      <c r="AH358" s="18"/>
      <c r="AI358" s="18"/>
    </row>
    <row r="359" spans="5:35" x14ac:dyDescent="0.25">
      <c r="E359" s="28"/>
      <c r="I359" s="28"/>
      <c r="X359" s="18"/>
      <c r="Y359" s="18"/>
      <c r="AG359" s="18"/>
      <c r="AH359" s="18"/>
      <c r="AI359" s="18"/>
    </row>
    <row r="360" spans="5:35" x14ac:dyDescent="0.25">
      <c r="E360" s="28"/>
      <c r="I360" s="28"/>
      <c r="X360" s="18"/>
      <c r="Y360" s="18"/>
      <c r="AG360" s="18"/>
      <c r="AH360" s="18"/>
      <c r="AI360" s="18"/>
    </row>
    <row r="361" spans="5:35" x14ac:dyDescent="0.25">
      <c r="E361" s="28"/>
      <c r="I361" s="28"/>
      <c r="X361" s="18"/>
      <c r="Y361" s="18"/>
      <c r="AG361" s="18"/>
      <c r="AH361" s="18"/>
      <c r="AI361" s="18"/>
    </row>
    <row r="362" spans="5:35" x14ac:dyDescent="0.25">
      <c r="E362" s="28"/>
      <c r="I362" s="28"/>
      <c r="X362" s="18"/>
      <c r="Y362" s="18"/>
      <c r="AG362" s="18"/>
      <c r="AH362" s="18"/>
      <c r="AI362" s="18"/>
    </row>
    <row r="363" spans="5:35" x14ac:dyDescent="0.25">
      <c r="E363" s="28"/>
      <c r="I363" s="28"/>
      <c r="X363" s="18"/>
      <c r="Y363" s="18"/>
      <c r="AG363" s="18"/>
      <c r="AH363" s="18"/>
      <c r="AI363" s="18"/>
    </row>
    <row r="364" spans="5:35" x14ac:dyDescent="0.25">
      <c r="E364" s="28"/>
      <c r="I364" s="28"/>
      <c r="X364" s="18"/>
      <c r="Y364" s="18"/>
      <c r="AG364" s="18"/>
      <c r="AH364" s="18"/>
      <c r="AI364" s="18"/>
    </row>
    <row r="365" spans="5:35" x14ac:dyDescent="0.25">
      <c r="E365" s="28"/>
      <c r="I365" s="28"/>
      <c r="X365" s="18"/>
      <c r="Y365" s="18"/>
      <c r="AG365" s="18"/>
      <c r="AH365" s="18"/>
      <c r="AI365" s="18"/>
    </row>
    <row r="366" spans="5:35" x14ac:dyDescent="0.25">
      <c r="E366" s="28"/>
      <c r="I366" s="28"/>
      <c r="X366" s="18"/>
      <c r="Y366" s="18"/>
      <c r="AG366" s="18"/>
      <c r="AH366" s="18"/>
      <c r="AI366" s="18"/>
    </row>
    <row r="367" spans="5:35" x14ac:dyDescent="0.25">
      <c r="E367" s="28"/>
      <c r="I367" s="28"/>
      <c r="X367" s="18"/>
      <c r="Y367" s="18"/>
      <c r="AG367" s="18"/>
      <c r="AH367" s="18"/>
      <c r="AI367" s="18"/>
    </row>
    <row r="368" spans="5:35" x14ac:dyDescent="0.25">
      <c r="E368" s="28"/>
      <c r="I368" s="28"/>
      <c r="X368" s="18"/>
      <c r="Y368" s="18"/>
      <c r="AG368" s="18"/>
      <c r="AH368" s="18"/>
      <c r="AI368" s="18"/>
    </row>
    <row r="369" spans="5:35" x14ac:dyDescent="0.25">
      <c r="E369" s="28"/>
      <c r="I369" s="28"/>
      <c r="X369" s="18"/>
      <c r="Y369" s="18"/>
      <c r="AG369" s="18"/>
      <c r="AH369" s="18"/>
      <c r="AI369" s="18"/>
    </row>
    <row r="370" spans="5:35" x14ac:dyDescent="0.25">
      <c r="E370" s="28"/>
      <c r="I370" s="28"/>
      <c r="X370" s="18"/>
      <c r="Y370" s="18"/>
      <c r="AG370" s="18"/>
      <c r="AH370" s="18"/>
      <c r="AI370" s="18"/>
    </row>
    <row r="371" spans="5:35" x14ac:dyDescent="0.25">
      <c r="E371" s="28"/>
      <c r="I371" s="28"/>
      <c r="X371" s="18"/>
      <c r="Y371" s="18"/>
      <c r="AG371" s="18"/>
      <c r="AH371" s="18"/>
      <c r="AI371" s="18"/>
    </row>
    <row r="372" spans="5:35" x14ac:dyDescent="0.25">
      <c r="E372" s="28"/>
      <c r="I372" s="28"/>
      <c r="X372" s="18"/>
      <c r="Y372" s="18"/>
      <c r="AG372" s="18"/>
      <c r="AH372" s="18"/>
      <c r="AI372" s="18"/>
    </row>
    <row r="373" spans="5:35" x14ac:dyDescent="0.25">
      <c r="E373" s="28"/>
      <c r="I373" s="28"/>
      <c r="X373" s="18"/>
      <c r="Y373" s="18"/>
      <c r="AG373" s="18"/>
      <c r="AH373" s="18"/>
      <c r="AI373" s="18"/>
    </row>
    <row r="374" spans="5:35" x14ac:dyDescent="0.25">
      <c r="E374" s="28"/>
      <c r="I374" s="28"/>
      <c r="X374" s="18"/>
      <c r="Y374" s="18"/>
      <c r="AG374" s="18"/>
      <c r="AH374" s="18"/>
      <c r="AI374" s="18"/>
    </row>
    <row r="375" spans="5:35" x14ac:dyDescent="0.25">
      <c r="E375" s="28"/>
      <c r="I375" s="28"/>
      <c r="X375" s="18"/>
      <c r="Y375" s="18"/>
      <c r="AG375" s="18"/>
      <c r="AH375" s="18"/>
      <c r="AI375" s="18"/>
    </row>
    <row r="376" spans="5:35" x14ac:dyDescent="0.25">
      <c r="E376" s="28"/>
      <c r="I376" s="28"/>
      <c r="X376" s="18"/>
      <c r="Y376" s="18"/>
      <c r="AG376" s="18"/>
      <c r="AH376" s="18"/>
      <c r="AI376" s="18"/>
    </row>
    <row r="377" spans="5:35" x14ac:dyDescent="0.25">
      <c r="E377" s="28"/>
      <c r="I377" s="28"/>
      <c r="X377" s="18"/>
      <c r="Y377" s="18"/>
      <c r="AG377" s="18"/>
      <c r="AH377" s="18"/>
      <c r="AI377" s="18"/>
    </row>
    <row r="378" spans="5:35" x14ac:dyDescent="0.25">
      <c r="E378" s="28"/>
      <c r="I378" s="28"/>
      <c r="X378" s="18"/>
      <c r="Y378" s="18"/>
      <c r="AG378" s="18"/>
      <c r="AH378" s="18"/>
      <c r="AI378" s="18"/>
    </row>
    <row r="379" spans="5:35" x14ac:dyDescent="0.25">
      <c r="E379" s="28"/>
      <c r="I379" s="28"/>
      <c r="X379" s="18"/>
      <c r="Y379" s="18"/>
      <c r="AG379" s="18"/>
      <c r="AH379" s="18"/>
      <c r="AI379" s="18"/>
    </row>
    <row r="380" spans="5:35" x14ac:dyDescent="0.25">
      <c r="E380" s="28"/>
      <c r="I380" s="28"/>
      <c r="X380" s="18"/>
      <c r="Y380" s="18"/>
      <c r="AG380" s="18"/>
      <c r="AH380" s="18"/>
      <c r="AI380" s="18"/>
    </row>
    <row r="381" spans="5:35" x14ac:dyDescent="0.25">
      <c r="E381" s="28"/>
      <c r="I381" s="28"/>
      <c r="X381" s="18"/>
      <c r="Y381" s="18"/>
      <c r="AG381" s="18"/>
      <c r="AH381" s="18"/>
      <c r="AI381" s="18"/>
    </row>
    <row r="382" spans="5:35" x14ac:dyDescent="0.25">
      <c r="E382" s="28"/>
      <c r="I382" s="28"/>
      <c r="X382" s="18"/>
      <c r="Y382" s="18"/>
      <c r="AG382" s="18"/>
      <c r="AH382" s="18"/>
      <c r="AI382" s="18"/>
    </row>
    <row r="383" spans="5:35" x14ac:dyDescent="0.25">
      <c r="E383" s="28"/>
      <c r="I383" s="28"/>
      <c r="X383" s="18"/>
      <c r="Y383" s="18"/>
      <c r="AG383" s="18"/>
      <c r="AH383" s="18"/>
      <c r="AI383" s="18"/>
    </row>
    <row r="384" spans="5:35" x14ac:dyDescent="0.25">
      <c r="E384" s="28"/>
      <c r="I384" s="28"/>
      <c r="X384" s="18"/>
      <c r="Y384" s="18"/>
      <c r="AG384" s="18"/>
      <c r="AH384" s="18"/>
      <c r="AI384" s="18"/>
    </row>
    <row r="385" spans="5:35" x14ac:dyDescent="0.25">
      <c r="E385" s="28"/>
      <c r="I385" s="28"/>
      <c r="X385" s="18"/>
      <c r="Y385" s="18"/>
      <c r="AG385" s="18"/>
      <c r="AH385" s="18"/>
      <c r="AI385" s="18"/>
    </row>
    <row r="386" spans="5:35" x14ac:dyDescent="0.25">
      <c r="E386" s="28"/>
      <c r="I386" s="28"/>
      <c r="X386" s="18"/>
      <c r="Y386" s="18"/>
      <c r="AG386" s="18"/>
      <c r="AH386" s="18"/>
      <c r="AI386" s="18"/>
    </row>
    <row r="387" spans="5:35" x14ac:dyDescent="0.25">
      <c r="E387" s="28"/>
      <c r="I387" s="28"/>
      <c r="X387" s="18"/>
      <c r="Y387" s="18"/>
      <c r="AG387" s="18"/>
      <c r="AH387" s="18"/>
      <c r="AI387" s="18"/>
    </row>
    <row r="388" spans="5:35" x14ac:dyDescent="0.25">
      <c r="E388" s="28"/>
      <c r="I388" s="28"/>
      <c r="X388" s="18"/>
      <c r="Y388" s="18"/>
      <c r="AG388" s="18"/>
      <c r="AH388" s="18"/>
      <c r="AI388" s="18"/>
    </row>
    <row r="389" spans="5:35" x14ac:dyDescent="0.25">
      <c r="E389" s="28"/>
      <c r="I389" s="28"/>
      <c r="X389" s="18"/>
      <c r="Y389" s="18"/>
      <c r="AG389" s="18"/>
      <c r="AH389" s="18"/>
      <c r="AI389" s="18"/>
    </row>
    <row r="390" spans="5:35" x14ac:dyDescent="0.25">
      <c r="E390" s="28"/>
      <c r="I390" s="28"/>
      <c r="X390" s="18"/>
      <c r="Y390" s="18"/>
      <c r="AG390" s="18"/>
      <c r="AH390" s="18"/>
      <c r="AI390" s="18"/>
    </row>
    <row r="391" spans="5:35" x14ac:dyDescent="0.25">
      <c r="E391" s="28"/>
      <c r="I391" s="28"/>
      <c r="X391" s="18"/>
      <c r="Y391" s="18"/>
      <c r="AG391" s="18"/>
      <c r="AH391" s="18"/>
      <c r="AI391" s="18"/>
    </row>
    <row r="392" spans="5:35" x14ac:dyDescent="0.25">
      <c r="E392" s="28"/>
      <c r="I392" s="28"/>
      <c r="X392" s="18"/>
      <c r="Y392" s="18"/>
      <c r="AG392" s="18"/>
      <c r="AH392" s="18"/>
      <c r="AI392" s="18"/>
    </row>
    <row r="393" spans="5:35" x14ac:dyDescent="0.25">
      <c r="E393" s="28"/>
      <c r="I393" s="28"/>
      <c r="X393" s="18"/>
      <c r="Y393" s="18"/>
      <c r="AG393" s="18"/>
      <c r="AH393" s="18"/>
      <c r="AI393" s="18"/>
    </row>
    <row r="394" spans="5:35" x14ac:dyDescent="0.25">
      <c r="E394" s="28"/>
      <c r="I394" s="28"/>
      <c r="X394" s="18"/>
      <c r="Y394" s="18"/>
      <c r="AG394" s="18"/>
      <c r="AH394" s="18"/>
      <c r="AI394" s="18"/>
    </row>
    <row r="395" spans="5:35" x14ac:dyDescent="0.25">
      <c r="E395" s="28"/>
      <c r="I395" s="28"/>
      <c r="X395" s="18"/>
      <c r="Y395" s="18"/>
      <c r="AG395" s="18"/>
      <c r="AH395" s="18"/>
      <c r="AI395" s="18"/>
    </row>
    <row r="396" spans="5:35" x14ac:dyDescent="0.25">
      <c r="E396" s="28"/>
      <c r="I396" s="28"/>
      <c r="X396" s="18"/>
      <c r="Y396" s="18"/>
      <c r="AG396" s="18"/>
      <c r="AH396" s="18"/>
      <c r="AI396" s="18"/>
    </row>
    <row r="397" spans="5:35" x14ac:dyDescent="0.25">
      <c r="E397" s="28"/>
      <c r="I397" s="28"/>
      <c r="X397" s="18"/>
      <c r="Y397" s="18"/>
      <c r="AG397" s="18"/>
      <c r="AH397" s="18"/>
      <c r="AI397" s="18"/>
    </row>
    <row r="398" spans="5:35" x14ac:dyDescent="0.25">
      <c r="E398" s="28"/>
      <c r="I398" s="28"/>
      <c r="X398" s="18"/>
      <c r="Y398" s="18"/>
      <c r="AG398" s="18"/>
      <c r="AH398" s="18"/>
      <c r="AI398" s="18"/>
    </row>
    <row r="399" spans="5:35" x14ac:dyDescent="0.25">
      <c r="E399" s="28"/>
      <c r="I399" s="28"/>
      <c r="X399" s="18"/>
      <c r="Y399" s="18"/>
      <c r="AG399" s="18"/>
      <c r="AH399" s="18"/>
      <c r="AI399" s="18"/>
    </row>
    <row r="400" spans="5:35" x14ac:dyDescent="0.25">
      <c r="E400" s="28"/>
      <c r="I400" s="28"/>
      <c r="X400" s="18"/>
      <c r="Y400" s="18"/>
      <c r="AG400" s="18"/>
      <c r="AH400" s="18"/>
      <c r="AI400" s="18"/>
    </row>
    <row r="401" spans="5:35" x14ac:dyDescent="0.25">
      <c r="E401" s="28"/>
      <c r="I401" s="28"/>
      <c r="X401" s="18"/>
      <c r="Y401" s="18"/>
      <c r="AG401" s="18"/>
      <c r="AH401" s="18"/>
      <c r="AI401" s="18"/>
    </row>
    <row r="402" spans="5:35" x14ac:dyDescent="0.25">
      <c r="E402" s="28"/>
      <c r="I402" s="28"/>
      <c r="X402" s="18"/>
      <c r="Y402" s="18"/>
      <c r="AG402" s="18"/>
      <c r="AH402" s="18"/>
      <c r="AI402" s="18"/>
    </row>
    <row r="403" spans="5:35" x14ac:dyDescent="0.25">
      <c r="E403" s="28"/>
      <c r="I403" s="28"/>
      <c r="X403" s="18"/>
      <c r="Y403" s="18"/>
      <c r="AG403" s="18"/>
      <c r="AH403" s="18"/>
      <c r="AI403" s="18"/>
    </row>
    <row r="404" spans="5:35" x14ac:dyDescent="0.25">
      <c r="E404" s="28"/>
      <c r="I404" s="28"/>
      <c r="X404" s="18"/>
      <c r="Y404" s="18"/>
      <c r="AG404" s="18"/>
      <c r="AH404" s="18"/>
      <c r="AI404" s="18"/>
    </row>
    <row r="405" spans="5:35" x14ac:dyDescent="0.25">
      <c r="E405" s="28"/>
      <c r="I405" s="28"/>
      <c r="X405" s="18"/>
      <c r="Y405" s="18"/>
      <c r="AG405" s="18"/>
      <c r="AH405" s="18"/>
      <c r="AI405" s="18"/>
    </row>
    <row r="406" spans="5:35" x14ac:dyDescent="0.25">
      <c r="E406" s="28"/>
      <c r="I406" s="28"/>
      <c r="X406" s="18"/>
      <c r="Y406" s="18"/>
      <c r="AG406" s="18"/>
      <c r="AH406" s="18"/>
      <c r="AI406" s="18"/>
    </row>
    <row r="407" spans="5:35" x14ac:dyDescent="0.25">
      <c r="E407" s="28"/>
      <c r="I407" s="28"/>
      <c r="X407" s="18"/>
      <c r="Y407" s="18"/>
      <c r="AG407" s="18"/>
      <c r="AH407" s="18"/>
      <c r="AI407" s="18"/>
    </row>
    <row r="408" spans="5:35" x14ac:dyDescent="0.25">
      <c r="E408" s="28"/>
      <c r="I408" s="28"/>
      <c r="X408" s="18"/>
      <c r="Y408" s="18"/>
      <c r="AG408" s="18"/>
      <c r="AH408" s="18"/>
      <c r="AI408" s="18"/>
    </row>
    <row r="409" spans="5:35" x14ac:dyDescent="0.25">
      <c r="E409" s="28"/>
      <c r="I409" s="28"/>
      <c r="X409" s="18"/>
      <c r="Y409" s="18"/>
      <c r="AG409" s="18"/>
      <c r="AH409" s="18"/>
      <c r="AI409" s="18"/>
    </row>
    <row r="410" spans="5:35" x14ac:dyDescent="0.25">
      <c r="E410" s="28"/>
      <c r="I410" s="28"/>
      <c r="X410" s="18"/>
      <c r="Y410" s="18"/>
      <c r="AG410" s="18"/>
      <c r="AH410" s="18"/>
      <c r="AI410" s="18"/>
    </row>
    <row r="411" spans="5:35" x14ac:dyDescent="0.25">
      <c r="E411" s="28"/>
      <c r="I411" s="28"/>
      <c r="X411" s="18"/>
      <c r="Y411" s="18"/>
      <c r="AG411" s="18"/>
      <c r="AH411" s="18"/>
      <c r="AI411" s="18"/>
    </row>
    <row r="412" spans="5:35" x14ac:dyDescent="0.25">
      <c r="E412" s="28"/>
      <c r="I412" s="28"/>
      <c r="X412" s="18"/>
      <c r="Y412" s="18"/>
      <c r="AG412" s="18"/>
      <c r="AH412" s="18"/>
      <c r="AI412" s="18"/>
    </row>
    <row r="413" spans="5:35" x14ac:dyDescent="0.25">
      <c r="E413" s="28"/>
      <c r="I413" s="28"/>
      <c r="X413" s="18"/>
      <c r="Y413" s="18"/>
      <c r="AG413" s="18"/>
      <c r="AH413" s="18"/>
      <c r="AI413" s="18"/>
    </row>
    <row r="414" spans="5:35" x14ac:dyDescent="0.25">
      <c r="E414" s="28"/>
      <c r="I414" s="28"/>
      <c r="X414" s="18"/>
      <c r="Y414" s="18"/>
      <c r="AG414" s="18"/>
      <c r="AH414" s="18"/>
      <c r="AI414" s="18"/>
    </row>
    <row r="415" spans="5:35" x14ac:dyDescent="0.25">
      <c r="E415" s="28"/>
      <c r="I415" s="28"/>
      <c r="X415" s="18"/>
      <c r="Y415" s="18"/>
      <c r="AG415" s="18"/>
      <c r="AH415" s="18"/>
      <c r="AI415" s="18"/>
    </row>
    <row r="416" spans="5:35" x14ac:dyDescent="0.25">
      <c r="E416" s="28"/>
      <c r="I416" s="28"/>
      <c r="X416" s="18"/>
      <c r="Y416" s="18"/>
      <c r="AG416" s="18"/>
      <c r="AH416" s="18"/>
      <c r="AI416" s="18"/>
    </row>
    <row r="417" spans="5:35" x14ac:dyDescent="0.25">
      <c r="E417" s="28"/>
      <c r="I417" s="28"/>
      <c r="X417" s="18"/>
      <c r="Y417" s="18"/>
      <c r="AG417" s="18"/>
      <c r="AH417" s="18"/>
      <c r="AI417" s="18"/>
    </row>
    <row r="418" spans="5:35" x14ac:dyDescent="0.25">
      <c r="E418" s="28"/>
      <c r="I418" s="28"/>
      <c r="X418" s="18"/>
      <c r="Y418" s="18"/>
      <c r="AG418" s="18"/>
      <c r="AH418" s="18"/>
      <c r="AI418" s="18"/>
    </row>
    <row r="419" spans="5:35" x14ac:dyDescent="0.25">
      <c r="E419" s="28"/>
      <c r="I419" s="28"/>
      <c r="X419" s="18"/>
      <c r="Y419" s="18"/>
      <c r="AG419" s="18"/>
      <c r="AH419" s="18"/>
      <c r="AI419" s="18"/>
    </row>
    <row r="420" spans="5:35" x14ac:dyDescent="0.25">
      <c r="E420" s="28"/>
      <c r="I420" s="28"/>
      <c r="X420" s="18"/>
      <c r="Y420" s="18"/>
      <c r="AG420" s="18"/>
      <c r="AH420" s="18"/>
      <c r="AI420" s="18"/>
    </row>
    <row r="421" spans="5:35" x14ac:dyDescent="0.25">
      <c r="E421" s="28"/>
      <c r="I421" s="28"/>
      <c r="X421" s="18"/>
      <c r="Y421" s="18"/>
      <c r="AG421" s="18"/>
      <c r="AH421" s="18"/>
      <c r="AI421" s="18"/>
    </row>
    <row r="422" spans="5:35" x14ac:dyDescent="0.25">
      <c r="E422" s="28"/>
      <c r="I422" s="28"/>
      <c r="X422" s="18"/>
      <c r="Y422" s="18"/>
      <c r="AG422" s="18"/>
      <c r="AH422" s="18"/>
      <c r="AI422" s="18"/>
    </row>
    <row r="423" spans="5:35" x14ac:dyDescent="0.25">
      <c r="E423" s="28"/>
      <c r="I423" s="28"/>
      <c r="X423" s="18"/>
      <c r="Y423" s="18"/>
      <c r="AG423" s="18"/>
      <c r="AH423" s="18"/>
      <c r="AI423" s="18"/>
    </row>
    <row r="424" spans="5:35" x14ac:dyDescent="0.25">
      <c r="E424" s="28"/>
      <c r="I424" s="28"/>
      <c r="X424" s="18"/>
      <c r="Y424" s="18"/>
      <c r="AG424" s="18"/>
      <c r="AH424" s="18"/>
      <c r="AI424" s="18"/>
    </row>
    <row r="425" spans="5:35" x14ac:dyDescent="0.25">
      <c r="E425" s="28"/>
      <c r="I425" s="28"/>
      <c r="X425" s="18"/>
      <c r="Y425" s="18"/>
      <c r="AG425" s="18"/>
      <c r="AH425" s="18"/>
      <c r="AI425" s="18"/>
    </row>
    <row r="426" spans="5:35" x14ac:dyDescent="0.25">
      <c r="E426" s="28"/>
      <c r="I426" s="28"/>
      <c r="X426" s="18"/>
      <c r="Y426" s="18"/>
      <c r="AG426" s="18"/>
      <c r="AH426" s="18"/>
      <c r="AI426" s="18"/>
    </row>
    <row r="427" spans="5:35" x14ac:dyDescent="0.25">
      <c r="E427" s="28"/>
      <c r="I427" s="28"/>
      <c r="X427" s="18"/>
      <c r="Y427" s="18"/>
      <c r="AG427" s="18"/>
      <c r="AH427" s="18"/>
      <c r="AI427" s="18"/>
    </row>
    <row r="428" spans="5:35" x14ac:dyDescent="0.25">
      <c r="E428" s="28"/>
      <c r="I428" s="28"/>
      <c r="X428" s="18"/>
      <c r="Y428" s="18"/>
      <c r="AG428" s="18"/>
      <c r="AH428" s="18"/>
      <c r="AI428" s="18"/>
    </row>
    <row r="429" spans="5:35" x14ac:dyDescent="0.25">
      <c r="E429" s="28"/>
      <c r="I429" s="28"/>
      <c r="X429" s="18"/>
      <c r="Y429" s="18"/>
      <c r="AG429" s="18"/>
      <c r="AH429" s="18"/>
      <c r="AI429" s="18"/>
    </row>
    <row r="430" spans="5:35" x14ac:dyDescent="0.25">
      <c r="E430" s="28"/>
      <c r="I430" s="28"/>
      <c r="X430" s="18"/>
      <c r="Y430" s="18"/>
      <c r="AG430" s="18"/>
      <c r="AH430" s="18"/>
      <c r="AI430" s="18"/>
    </row>
    <row r="431" spans="5:35" x14ac:dyDescent="0.25">
      <c r="E431" s="28"/>
      <c r="I431" s="28"/>
      <c r="X431" s="18"/>
      <c r="Y431" s="18"/>
      <c r="AG431" s="18"/>
      <c r="AH431" s="18"/>
      <c r="AI431" s="18"/>
    </row>
    <row r="432" spans="5:35" x14ac:dyDescent="0.25">
      <c r="E432" s="28"/>
      <c r="I432" s="28"/>
      <c r="X432" s="18"/>
      <c r="Y432" s="18"/>
      <c r="AG432" s="18"/>
      <c r="AH432" s="18"/>
      <c r="AI432" s="18"/>
    </row>
    <row r="433" spans="5:35" x14ac:dyDescent="0.25">
      <c r="E433" s="28"/>
      <c r="I433" s="28"/>
      <c r="X433" s="18"/>
      <c r="Y433" s="18"/>
      <c r="AG433" s="18"/>
      <c r="AH433" s="18"/>
      <c r="AI433" s="18"/>
    </row>
    <row r="434" spans="5:35" x14ac:dyDescent="0.25">
      <c r="E434" s="28"/>
      <c r="I434" s="28"/>
      <c r="X434" s="18"/>
      <c r="Y434" s="18"/>
      <c r="AG434" s="18"/>
      <c r="AH434" s="18"/>
      <c r="AI434" s="18"/>
    </row>
    <row r="435" spans="5:35" x14ac:dyDescent="0.25">
      <c r="E435" s="28"/>
      <c r="I435" s="28"/>
      <c r="X435" s="18"/>
      <c r="Y435" s="18"/>
      <c r="AG435" s="18"/>
      <c r="AH435" s="18"/>
      <c r="AI435" s="18"/>
    </row>
    <row r="436" spans="5:35" x14ac:dyDescent="0.25">
      <c r="E436" s="28"/>
      <c r="I436" s="28"/>
      <c r="X436" s="18"/>
      <c r="Y436" s="18"/>
      <c r="AG436" s="18"/>
      <c r="AH436" s="18"/>
      <c r="AI436" s="18"/>
    </row>
    <row r="437" spans="5:35" x14ac:dyDescent="0.25">
      <c r="E437" s="28"/>
      <c r="I437" s="28"/>
      <c r="X437" s="18"/>
      <c r="Y437" s="18"/>
      <c r="AG437" s="18"/>
      <c r="AH437" s="18"/>
      <c r="AI437" s="18"/>
    </row>
    <row r="438" spans="5:35" x14ac:dyDescent="0.25">
      <c r="E438" s="28"/>
      <c r="I438" s="28"/>
      <c r="X438" s="18"/>
      <c r="Y438" s="18"/>
      <c r="AG438" s="18"/>
      <c r="AH438" s="18"/>
      <c r="AI438" s="18"/>
    </row>
    <row r="439" spans="5:35" x14ac:dyDescent="0.25">
      <c r="E439" s="28"/>
      <c r="I439" s="28"/>
      <c r="X439" s="18"/>
      <c r="Y439" s="18"/>
      <c r="AG439" s="18"/>
      <c r="AH439" s="18"/>
      <c r="AI439" s="18"/>
    </row>
    <row r="440" spans="5:35" x14ac:dyDescent="0.25">
      <c r="E440" s="28"/>
      <c r="I440" s="28"/>
      <c r="X440" s="18"/>
      <c r="Y440" s="18"/>
      <c r="AG440" s="18"/>
      <c r="AH440" s="18"/>
      <c r="AI440" s="18"/>
    </row>
    <row r="441" spans="5:35" x14ac:dyDescent="0.25">
      <c r="E441" s="28"/>
      <c r="I441" s="28"/>
      <c r="X441" s="18"/>
      <c r="Y441" s="18"/>
      <c r="AG441" s="18"/>
      <c r="AH441" s="18"/>
      <c r="AI441" s="18"/>
    </row>
    <row r="442" spans="5:35" x14ac:dyDescent="0.25">
      <c r="E442" s="28"/>
      <c r="I442" s="28"/>
      <c r="X442" s="18"/>
      <c r="Y442" s="18"/>
      <c r="AG442" s="18"/>
      <c r="AH442" s="18"/>
      <c r="AI442" s="18"/>
    </row>
    <row r="443" spans="5:35" x14ac:dyDescent="0.25">
      <c r="E443" s="28"/>
      <c r="I443" s="28"/>
      <c r="X443" s="18"/>
      <c r="Y443" s="18"/>
      <c r="AG443" s="18"/>
      <c r="AH443" s="18"/>
      <c r="AI443" s="18"/>
    </row>
    <row r="444" spans="5:35" x14ac:dyDescent="0.25">
      <c r="E444" s="28"/>
      <c r="I444" s="28"/>
      <c r="X444" s="18"/>
      <c r="Y444" s="18"/>
      <c r="AG444" s="18"/>
      <c r="AH444" s="18"/>
      <c r="AI444" s="18"/>
    </row>
    <row r="445" spans="5:35" x14ac:dyDescent="0.25">
      <c r="E445" s="28"/>
      <c r="I445" s="28"/>
      <c r="X445" s="18"/>
      <c r="Y445" s="18"/>
      <c r="AG445" s="18"/>
      <c r="AH445" s="18"/>
      <c r="AI445" s="18"/>
    </row>
    <row r="446" spans="5:35" x14ac:dyDescent="0.25">
      <c r="E446" s="28"/>
      <c r="I446" s="28"/>
      <c r="X446" s="18"/>
      <c r="Y446" s="18"/>
      <c r="AG446" s="18"/>
      <c r="AH446" s="18"/>
      <c r="AI446" s="18"/>
    </row>
    <row r="447" spans="5:35" x14ac:dyDescent="0.25">
      <c r="E447" s="28"/>
      <c r="I447" s="28"/>
      <c r="X447" s="18"/>
      <c r="Y447" s="18"/>
      <c r="AG447" s="18"/>
      <c r="AH447" s="18"/>
      <c r="AI447" s="18"/>
    </row>
    <row r="448" spans="5:35" x14ac:dyDescent="0.25">
      <c r="E448" s="28"/>
      <c r="I448" s="28"/>
      <c r="X448" s="18"/>
      <c r="Y448" s="18"/>
      <c r="AG448" s="18"/>
      <c r="AH448" s="18"/>
      <c r="AI448" s="18"/>
    </row>
    <row r="449" spans="5:35" x14ac:dyDescent="0.25">
      <c r="E449" s="28"/>
      <c r="I449" s="28"/>
      <c r="X449" s="18"/>
      <c r="Y449" s="18"/>
      <c r="AG449" s="18"/>
      <c r="AH449" s="18"/>
      <c r="AI449" s="18"/>
    </row>
    <row r="450" spans="5:35" x14ac:dyDescent="0.25">
      <c r="E450" s="28"/>
      <c r="I450" s="28"/>
      <c r="X450" s="18"/>
      <c r="Y450" s="18"/>
      <c r="AG450" s="18"/>
      <c r="AH450" s="18"/>
      <c r="AI450" s="18"/>
    </row>
    <row r="451" spans="5:35" x14ac:dyDescent="0.25">
      <c r="E451" s="28"/>
      <c r="I451" s="28"/>
      <c r="X451" s="18"/>
      <c r="Y451" s="18"/>
      <c r="AG451" s="18"/>
      <c r="AH451" s="18"/>
      <c r="AI451" s="18"/>
    </row>
    <row r="452" spans="5:35" x14ac:dyDescent="0.25">
      <c r="E452" s="28"/>
      <c r="I452" s="28"/>
      <c r="X452" s="18"/>
      <c r="Y452" s="18"/>
      <c r="AG452" s="18"/>
      <c r="AH452" s="18"/>
      <c r="AI452" s="18"/>
    </row>
    <row r="453" spans="5:35" x14ac:dyDescent="0.25">
      <c r="E453" s="28"/>
      <c r="I453" s="28"/>
      <c r="X453" s="18"/>
      <c r="Y453" s="18"/>
      <c r="AG453" s="18"/>
      <c r="AH453" s="18"/>
      <c r="AI453" s="18"/>
    </row>
    <row r="454" spans="5:35" x14ac:dyDescent="0.25">
      <c r="E454" s="28"/>
      <c r="I454" s="28"/>
      <c r="X454" s="18"/>
      <c r="Y454" s="18"/>
      <c r="AG454" s="18"/>
      <c r="AH454" s="18"/>
      <c r="AI454" s="18"/>
    </row>
    <row r="455" spans="5:35" x14ac:dyDescent="0.25">
      <c r="E455" s="28"/>
      <c r="I455" s="28"/>
      <c r="X455" s="18"/>
      <c r="Y455" s="18"/>
      <c r="AG455" s="18"/>
      <c r="AH455" s="18"/>
      <c r="AI455" s="18"/>
    </row>
    <row r="456" spans="5:35" x14ac:dyDescent="0.25">
      <c r="E456" s="28"/>
      <c r="I456" s="28"/>
      <c r="X456" s="18"/>
      <c r="Y456" s="18"/>
      <c r="AG456" s="18"/>
      <c r="AH456" s="18"/>
      <c r="AI456" s="18"/>
    </row>
    <row r="457" spans="5:35" x14ac:dyDescent="0.25">
      <c r="E457" s="28"/>
      <c r="I457" s="28"/>
      <c r="X457" s="18"/>
      <c r="Y457" s="18"/>
      <c r="AG457" s="18"/>
      <c r="AH457" s="18"/>
      <c r="AI457" s="18"/>
    </row>
    <row r="458" spans="5:35" x14ac:dyDescent="0.25">
      <c r="E458" s="28"/>
      <c r="I458" s="28"/>
      <c r="X458" s="18"/>
      <c r="Y458" s="18"/>
      <c r="AG458" s="18"/>
      <c r="AH458" s="18"/>
      <c r="AI458" s="18"/>
    </row>
    <row r="459" spans="5:35" x14ac:dyDescent="0.25">
      <c r="E459" s="28"/>
      <c r="I459" s="28"/>
      <c r="X459" s="18"/>
      <c r="Y459" s="18"/>
      <c r="AG459" s="18"/>
      <c r="AH459" s="18"/>
      <c r="AI459" s="18"/>
    </row>
    <row r="460" spans="5:35" x14ac:dyDescent="0.25">
      <c r="E460" s="28"/>
      <c r="I460" s="28"/>
      <c r="X460" s="18"/>
      <c r="Y460" s="18"/>
      <c r="AG460" s="18"/>
      <c r="AH460" s="18"/>
      <c r="AI460" s="18"/>
    </row>
    <row r="461" spans="5:35" x14ac:dyDescent="0.25">
      <c r="E461" s="28"/>
      <c r="I461" s="28"/>
      <c r="X461" s="18"/>
      <c r="Y461" s="18"/>
      <c r="AG461" s="18"/>
      <c r="AH461" s="18"/>
      <c r="AI461" s="18"/>
    </row>
    <row r="462" spans="5:35" x14ac:dyDescent="0.25">
      <c r="E462" s="28"/>
      <c r="I462" s="28"/>
      <c r="X462" s="18"/>
      <c r="Y462" s="18"/>
      <c r="AG462" s="18"/>
      <c r="AH462" s="18"/>
      <c r="AI462" s="18"/>
    </row>
    <row r="463" spans="5:35" x14ac:dyDescent="0.25">
      <c r="E463" s="28"/>
      <c r="I463" s="28"/>
      <c r="X463" s="18"/>
      <c r="Y463" s="18"/>
      <c r="AG463" s="18"/>
      <c r="AH463" s="18"/>
      <c r="AI463" s="18"/>
    </row>
    <row r="464" spans="5:35" x14ac:dyDescent="0.25">
      <c r="E464" s="28"/>
      <c r="I464" s="28"/>
      <c r="X464" s="18"/>
      <c r="Y464" s="18"/>
      <c r="AG464" s="18"/>
      <c r="AH464" s="18"/>
      <c r="AI464" s="18"/>
    </row>
    <row r="465" spans="5:35" x14ac:dyDescent="0.25">
      <c r="E465" s="28"/>
      <c r="I465" s="28"/>
      <c r="X465" s="18"/>
      <c r="Y465" s="18"/>
      <c r="AG465" s="18"/>
      <c r="AH465" s="18"/>
      <c r="AI465" s="18"/>
    </row>
    <row r="466" spans="5:35" x14ac:dyDescent="0.25">
      <c r="E466" s="28"/>
      <c r="I466" s="28"/>
      <c r="X466" s="18"/>
      <c r="Y466" s="18"/>
      <c r="AG466" s="18"/>
      <c r="AH466" s="18"/>
      <c r="AI466" s="18"/>
    </row>
    <row r="467" spans="5:35" x14ac:dyDescent="0.25">
      <c r="E467" s="28"/>
      <c r="I467" s="28"/>
      <c r="X467" s="18"/>
      <c r="Y467" s="18"/>
      <c r="AG467" s="18"/>
      <c r="AH467" s="18"/>
      <c r="AI467" s="18"/>
    </row>
    <row r="468" spans="5:35" x14ac:dyDescent="0.25">
      <c r="E468" s="28"/>
      <c r="I468" s="28"/>
      <c r="X468" s="18"/>
      <c r="Y468" s="18"/>
      <c r="AG468" s="18"/>
      <c r="AH468" s="18"/>
      <c r="AI468" s="18"/>
    </row>
    <row r="469" spans="5:35" x14ac:dyDescent="0.25">
      <c r="E469" s="28"/>
      <c r="I469" s="28"/>
      <c r="X469" s="18"/>
      <c r="Y469" s="18"/>
      <c r="AG469" s="18"/>
      <c r="AH469" s="18"/>
      <c r="AI469" s="18"/>
    </row>
    <row r="470" spans="5:35" x14ac:dyDescent="0.25">
      <c r="E470" s="28"/>
      <c r="I470" s="28"/>
      <c r="X470" s="18"/>
      <c r="Y470" s="18"/>
      <c r="AG470" s="18"/>
      <c r="AH470" s="18"/>
      <c r="AI470" s="18"/>
    </row>
    <row r="471" spans="5:35" x14ac:dyDescent="0.25">
      <c r="E471" s="28"/>
      <c r="I471" s="28"/>
      <c r="X471" s="18"/>
      <c r="Y471" s="18"/>
      <c r="AG471" s="18"/>
      <c r="AH471" s="18"/>
      <c r="AI471" s="18"/>
    </row>
    <row r="472" spans="5:35" x14ac:dyDescent="0.25">
      <c r="E472" s="28"/>
      <c r="I472" s="28"/>
      <c r="X472" s="18"/>
      <c r="Y472" s="18"/>
      <c r="AG472" s="18"/>
      <c r="AH472" s="18"/>
      <c r="AI472" s="18"/>
    </row>
    <row r="473" spans="5:35" x14ac:dyDescent="0.25">
      <c r="E473" s="28"/>
      <c r="I473" s="28"/>
      <c r="X473" s="18"/>
      <c r="Y473" s="18"/>
      <c r="AG473" s="18"/>
      <c r="AH473" s="18"/>
      <c r="AI473" s="18"/>
    </row>
    <row r="474" spans="5:35" x14ac:dyDescent="0.25">
      <c r="E474" s="28"/>
      <c r="I474" s="28"/>
      <c r="X474" s="18"/>
      <c r="Y474" s="18"/>
      <c r="AG474" s="18"/>
      <c r="AH474" s="18"/>
      <c r="AI474" s="18"/>
    </row>
    <row r="475" spans="5:35" x14ac:dyDescent="0.25">
      <c r="E475" s="28"/>
      <c r="I475" s="28"/>
      <c r="X475" s="18"/>
      <c r="Y475" s="18"/>
      <c r="AG475" s="18"/>
      <c r="AH475" s="18"/>
      <c r="AI475" s="18"/>
    </row>
    <row r="476" spans="5:35" x14ac:dyDescent="0.25">
      <c r="E476" s="28"/>
      <c r="I476" s="28"/>
      <c r="X476" s="18"/>
      <c r="Y476" s="18"/>
      <c r="AG476" s="18"/>
      <c r="AH476" s="18"/>
      <c r="AI476" s="18"/>
    </row>
    <row r="477" spans="5:35" x14ac:dyDescent="0.25">
      <c r="E477" s="28"/>
      <c r="I477" s="28"/>
      <c r="X477" s="18"/>
      <c r="Y477" s="18"/>
      <c r="AG477" s="18"/>
      <c r="AH477" s="18"/>
      <c r="AI477" s="18"/>
    </row>
    <row r="478" spans="5:35" x14ac:dyDescent="0.25">
      <c r="E478" s="28"/>
      <c r="I478" s="28"/>
      <c r="X478" s="18"/>
      <c r="Y478" s="18"/>
      <c r="AG478" s="18"/>
      <c r="AH478" s="18"/>
      <c r="AI478" s="18"/>
    </row>
    <row r="479" spans="5:35" x14ac:dyDescent="0.25">
      <c r="E479" s="28"/>
      <c r="I479" s="28"/>
      <c r="X479" s="18"/>
      <c r="Y479" s="18"/>
      <c r="AG479" s="18"/>
      <c r="AH479" s="18"/>
      <c r="AI479" s="18"/>
    </row>
    <row r="480" spans="5:35" x14ac:dyDescent="0.25">
      <c r="E480" s="28"/>
      <c r="I480" s="28"/>
      <c r="X480" s="18"/>
      <c r="Y480" s="18"/>
      <c r="AG480" s="18"/>
      <c r="AH480" s="18"/>
      <c r="AI480" s="18"/>
    </row>
    <row r="481" spans="5:35" x14ac:dyDescent="0.25">
      <c r="E481" s="28"/>
      <c r="I481" s="28"/>
      <c r="X481" s="18"/>
      <c r="Y481" s="18"/>
      <c r="AG481" s="18"/>
      <c r="AH481" s="18"/>
      <c r="AI481" s="18"/>
    </row>
    <row r="482" spans="5:35" x14ac:dyDescent="0.25">
      <c r="E482" s="28"/>
      <c r="I482" s="28"/>
      <c r="X482" s="18"/>
      <c r="Y482" s="18"/>
      <c r="AG482" s="18"/>
      <c r="AH482" s="18"/>
      <c r="AI482" s="18"/>
    </row>
    <row r="483" spans="5:35" x14ac:dyDescent="0.25">
      <c r="E483" s="28"/>
      <c r="I483" s="28"/>
      <c r="X483" s="18"/>
      <c r="Y483" s="18"/>
      <c r="AG483" s="18"/>
      <c r="AH483" s="18"/>
      <c r="AI483" s="18"/>
    </row>
    <row r="484" spans="5:35" x14ac:dyDescent="0.25">
      <c r="E484" s="28"/>
      <c r="I484" s="28"/>
      <c r="X484" s="18"/>
      <c r="Y484" s="18"/>
      <c r="AG484" s="18"/>
      <c r="AH484" s="18"/>
      <c r="AI484" s="18"/>
    </row>
    <row r="485" spans="5:35" x14ac:dyDescent="0.25">
      <c r="E485" s="28"/>
      <c r="I485" s="28"/>
      <c r="X485" s="18"/>
      <c r="Y485" s="18"/>
      <c r="AG485" s="18"/>
      <c r="AH485" s="18"/>
      <c r="AI485" s="18"/>
    </row>
    <row r="486" spans="5:35" x14ac:dyDescent="0.25">
      <c r="E486" s="28"/>
      <c r="I486" s="28"/>
      <c r="X486" s="18"/>
      <c r="Y486" s="18"/>
      <c r="AG486" s="18"/>
      <c r="AH486" s="18"/>
      <c r="AI486" s="18"/>
    </row>
    <row r="487" spans="5:35" x14ac:dyDescent="0.25">
      <c r="E487" s="28"/>
      <c r="I487" s="28"/>
      <c r="X487" s="18"/>
      <c r="Y487" s="18"/>
      <c r="AG487" s="18"/>
      <c r="AH487" s="18"/>
      <c r="AI487" s="18"/>
    </row>
    <row r="488" spans="5:35" x14ac:dyDescent="0.25">
      <c r="E488" s="28"/>
      <c r="I488" s="28"/>
      <c r="X488" s="18"/>
      <c r="Y488" s="18"/>
      <c r="AG488" s="18"/>
      <c r="AH488" s="18"/>
      <c r="AI488" s="18"/>
    </row>
    <row r="489" spans="5:35" x14ac:dyDescent="0.25">
      <c r="E489" s="28"/>
      <c r="I489" s="28"/>
      <c r="X489" s="18"/>
      <c r="Y489" s="18"/>
      <c r="AG489" s="18"/>
      <c r="AH489" s="18"/>
      <c r="AI489" s="18"/>
    </row>
    <row r="490" spans="5:35" x14ac:dyDescent="0.25">
      <c r="E490" s="28"/>
      <c r="I490" s="28"/>
      <c r="X490" s="18"/>
      <c r="Y490" s="18"/>
      <c r="AG490" s="18"/>
      <c r="AH490" s="18"/>
      <c r="AI490" s="18"/>
    </row>
    <row r="491" spans="5:35" x14ac:dyDescent="0.25">
      <c r="E491" s="28"/>
      <c r="I491" s="28"/>
      <c r="X491" s="18"/>
      <c r="Y491" s="18"/>
      <c r="AG491" s="18"/>
      <c r="AH491" s="18"/>
      <c r="AI491" s="18"/>
    </row>
    <row r="492" spans="5:35" x14ac:dyDescent="0.25">
      <c r="E492" s="28"/>
      <c r="I492" s="28"/>
      <c r="X492" s="18"/>
      <c r="Y492" s="18"/>
      <c r="AG492" s="18"/>
      <c r="AH492" s="18"/>
      <c r="AI492" s="18"/>
    </row>
    <row r="493" spans="5:35" x14ac:dyDescent="0.25">
      <c r="E493" s="28"/>
      <c r="I493" s="28"/>
      <c r="X493" s="18"/>
      <c r="Y493" s="18"/>
      <c r="AG493" s="18"/>
      <c r="AH493" s="18"/>
      <c r="AI493" s="18"/>
    </row>
    <row r="494" spans="5:35" x14ac:dyDescent="0.25">
      <c r="E494" s="28"/>
      <c r="I494" s="28"/>
      <c r="X494" s="18"/>
      <c r="Y494" s="18"/>
      <c r="AG494" s="18"/>
      <c r="AH494" s="18"/>
      <c r="AI494" s="18"/>
    </row>
    <row r="495" spans="5:35" x14ac:dyDescent="0.25">
      <c r="E495" s="28"/>
      <c r="I495" s="28"/>
      <c r="X495" s="18"/>
      <c r="Y495" s="18"/>
      <c r="AG495" s="18"/>
      <c r="AH495" s="18"/>
      <c r="AI495" s="18"/>
    </row>
    <row r="496" spans="5:35" x14ac:dyDescent="0.25">
      <c r="E496" s="28"/>
      <c r="I496" s="28"/>
      <c r="X496" s="18"/>
      <c r="Y496" s="18"/>
      <c r="AG496" s="18"/>
      <c r="AH496" s="18"/>
      <c r="AI496" s="18"/>
    </row>
    <row r="497" spans="5:35" x14ac:dyDescent="0.25">
      <c r="E497" s="28"/>
      <c r="I497" s="28"/>
      <c r="X497" s="18"/>
      <c r="Y497" s="18"/>
      <c r="AG497" s="18"/>
      <c r="AH497" s="18"/>
      <c r="AI497" s="18"/>
    </row>
    <row r="498" spans="5:35" x14ac:dyDescent="0.25">
      <c r="E498" s="28"/>
      <c r="I498" s="28"/>
      <c r="X498" s="18"/>
      <c r="Y498" s="18"/>
      <c r="AG498" s="18"/>
      <c r="AH498" s="18"/>
      <c r="AI498" s="18"/>
    </row>
    <row r="499" spans="5:35" x14ac:dyDescent="0.25">
      <c r="E499" s="28"/>
      <c r="I499" s="28"/>
      <c r="X499" s="18"/>
      <c r="Y499" s="18"/>
      <c r="AG499" s="18"/>
      <c r="AH499" s="18"/>
      <c r="AI499" s="18"/>
    </row>
    <row r="500" spans="5:35" x14ac:dyDescent="0.25">
      <c r="E500" s="28"/>
      <c r="I500" s="28"/>
      <c r="X500" s="18"/>
      <c r="Y500" s="18"/>
      <c r="AG500" s="18"/>
      <c r="AH500" s="18"/>
      <c r="AI500" s="18"/>
    </row>
    <row r="501" spans="5:35" x14ac:dyDescent="0.25">
      <c r="E501" s="28"/>
      <c r="I501" s="28"/>
      <c r="X501" s="18"/>
      <c r="Y501" s="18"/>
      <c r="AG501" s="18"/>
      <c r="AH501" s="18"/>
      <c r="AI501" s="18"/>
    </row>
    <row r="502" spans="5:35" x14ac:dyDescent="0.25">
      <c r="E502" s="28"/>
      <c r="I502" s="28"/>
      <c r="X502" s="18"/>
      <c r="Y502" s="18"/>
      <c r="AG502" s="18"/>
      <c r="AH502" s="18"/>
      <c r="AI502" s="18"/>
    </row>
    <row r="503" spans="5:35" x14ac:dyDescent="0.25">
      <c r="E503" s="28"/>
      <c r="I503" s="28"/>
      <c r="X503" s="18"/>
      <c r="Y503" s="18"/>
      <c r="AG503" s="18"/>
      <c r="AH503" s="18"/>
      <c r="AI503" s="18"/>
    </row>
    <row r="504" spans="5:35" x14ac:dyDescent="0.25">
      <c r="E504" s="28"/>
      <c r="I504" s="28"/>
      <c r="X504" s="18"/>
      <c r="Y504" s="18"/>
      <c r="AG504" s="18"/>
      <c r="AH504" s="18"/>
      <c r="AI504" s="18"/>
    </row>
    <row r="505" spans="5:35" x14ac:dyDescent="0.25">
      <c r="E505" s="28"/>
      <c r="I505" s="28"/>
      <c r="X505" s="18"/>
      <c r="Y505" s="18"/>
      <c r="AG505" s="18"/>
      <c r="AH505" s="18"/>
      <c r="AI505" s="18"/>
    </row>
    <row r="506" spans="5:35" x14ac:dyDescent="0.25">
      <c r="E506" s="28"/>
      <c r="I506" s="28"/>
      <c r="X506" s="18"/>
      <c r="Y506" s="18"/>
      <c r="AG506" s="18"/>
      <c r="AH506" s="18"/>
      <c r="AI506" s="18"/>
    </row>
    <row r="507" spans="5:35" x14ac:dyDescent="0.25">
      <c r="E507" s="28"/>
      <c r="I507" s="28"/>
      <c r="X507" s="18"/>
      <c r="Y507" s="18"/>
      <c r="AG507" s="18"/>
      <c r="AH507" s="18"/>
      <c r="AI507" s="18"/>
    </row>
    <row r="508" spans="5:35" x14ac:dyDescent="0.25">
      <c r="E508" s="28"/>
      <c r="I508" s="28"/>
      <c r="X508" s="18"/>
      <c r="Y508" s="18"/>
      <c r="AG508" s="18"/>
      <c r="AH508" s="18"/>
      <c r="AI508" s="18"/>
    </row>
    <row r="509" spans="5:35" x14ac:dyDescent="0.25">
      <c r="E509" s="28"/>
      <c r="I509" s="28"/>
      <c r="X509" s="18"/>
      <c r="Y509" s="18"/>
      <c r="AG509" s="18"/>
      <c r="AH509" s="18"/>
      <c r="AI509" s="18"/>
    </row>
    <row r="510" spans="5:35" x14ac:dyDescent="0.25">
      <c r="E510" s="28"/>
      <c r="I510" s="28"/>
      <c r="X510" s="18"/>
      <c r="Y510" s="18"/>
      <c r="AG510" s="18"/>
      <c r="AH510" s="18"/>
      <c r="AI510" s="18"/>
    </row>
    <row r="511" spans="5:35" x14ac:dyDescent="0.25">
      <c r="E511" s="28"/>
      <c r="I511" s="28"/>
      <c r="X511" s="18"/>
      <c r="Y511" s="18"/>
      <c r="AG511" s="18"/>
      <c r="AH511" s="18"/>
      <c r="AI511" s="18"/>
    </row>
    <row r="512" spans="5:35" x14ac:dyDescent="0.25">
      <c r="E512" s="28"/>
      <c r="I512" s="28"/>
      <c r="X512" s="18"/>
      <c r="Y512" s="18"/>
      <c r="AG512" s="18"/>
      <c r="AH512" s="18"/>
      <c r="AI512" s="18"/>
    </row>
    <row r="513" spans="5:35" x14ac:dyDescent="0.25">
      <c r="E513" s="28"/>
      <c r="I513" s="28"/>
      <c r="X513" s="18"/>
      <c r="Y513" s="18"/>
      <c r="AG513" s="18"/>
      <c r="AH513" s="18"/>
      <c r="AI513" s="18"/>
    </row>
    <row r="514" spans="5:35" x14ac:dyDescent="0.25">
      <c r="E514" s="28"/>
      <c r="I514" s="28"/>
      <c r="X514" s="18"/>
      <c r="Y514" s="18"/>
      <c r="AG514" s="18"/>
      <c r="AH514" s="18"/>
      <c r="AI514" s="18"/>
    </row>
    <row r="515" spans="5:35" x14ac:dyDescent="0.25">
      <c r="E515" s="28"/>
      <c r="I515" s="28"/>
      <c r="X515" s="18"/>
      <c r="Y515" s="18"/>
      <c r="AG515" s="18"/>
      <c r="AH515" s="18"/>
      <c r="AI515" s="18"/>
    </row>
    <row r="516" spans="5:35" x14ac:dyDescent="0.25">
      <c r="E516" s="28"/>
      <c r="I516" s="28"/>
      <c r="X516" s="18"/>
      <c r="Y516" s="18"/>
      <c r="AG516" s="18"/>
      <c r="AH516" s="18"/>
      <c r="AI516" s="18"/>
    </row>
    <row r="517" spans="5:35" x14ac:dyDescent="0.25">
      <c r="E517" s="28"/>
      <c r="I517" s="28"/>
      <c r="X517" s="18"/>
      <c r="Y517" s="18"/>
      <c r="AG517" s="18"/>
      <c r="AH517" s="18"/>
      <c r="AI517" s="18"/>
    </row>
    <row r="518" spans="5:35" x14ac:dyDescent="0.25">
      <c r="E518" s="28"/>
      <c r="I518" s="28"/>
      <c r="X518" s="18"/>
      <c r="Y518" s="18"/>
      <c r="AG518" s="18"/>
      <c r="AH518" s="18"/>
      <c r="AI518" s="18"/>
    </row>
    <row r="519" spans="5:35" x14ac:dyDescent="0.25">
      <c r="E519" s="28"/>
      <c r="I519" s="28"/>
      <c r="X519" s="18"/>
      <c r="Y519" s="18"/>
      <c r="AG519" s="18"/>
      <c r="AH519" s="18"/>
      <c r="AI519" s="18"/>
    </row>
    <row r="520" spans="5:35" x14ac:dyDescent="0.25">
      <c r="E520" s="28"/>
      <c r="I520" s="28"/>
      <c r="X520" s="18"/>
      <c r="Y520" s="18"/>
      <c r="AG520" s="18"/>
      <c r="AH520" s="18"/>
      <c r="AI520" s="18"/>
    </row>
    <row r="521" spans="5:35" x14ac:dyDescent="0.25">
      <c r="E521" s="28"/>
      <c r="I521" s="28"/>
      <c r="X521" s="18"/>
      <c r="Y521" s="18"/>
      <c r="AG521" s="18"/>
      <c r="AH521" s="18"/>
      <c r="AI521" s="18"/>
    </row>
    <row r="522" spans="5:35" x14ac:dyDescent="0.25">
      <c r="E522" s="28"/>
      <c r="I522" s="28"/>
      <c r="X522" s="18"/>
      <c r="Y522" s="18"/>
      <c r="AG522" s="18"/>
      <c r="AH522" s="18"/>
      <c r="AI522" s="18"/>
    </row>
    <row r="523" spans="5:35" x14ac:dyDescent="0.25">
      <c r="E523" s="28"/>
      <c r="I523" s="28"/>
      <c r="X523" s="18"/>
      <c r="Y523" s="18"/>
      <c r="AG523" s="18"/>
      <c r="AH523" s="18"/>
      <c r="AI523" s="18"/>
    </row>
    <row r="524" spans="5:35" x14ac:dyDescent="0.25">
      <c r="E524" s="28"/>
      <c r="I524" s="28"/>
      <c r="X524" s="18"/>
      <c r="Y524" s="18"/>
      <c r="AG524" s="18"/>
      <c r="AH524" s="18"/>
      <c r="AI524" s="18"/>
    </row>
    <row r="525" spans="5:35" x14ac:dyDescent="0.25">
      <c r="E525" s="28"/>
      <c r="I525" s="28"/>
      <c r="X525" s="18"/>
      <c r="Y525" s="18"/>
      <c r="AG525" s="18"/>
      <c r="AH525" s="18"/>
      <c r="AI525" s="18"/>
    </row>
    <row r="526" spans="5:35" x14ac:dyDescent="0.25">
      <c r="E526" s="28"/>
      <c r="I526" s="28"/>
      <c r="X526" s="18"/>
      <c r="Y526" s="18"/>
      <c r="AG526" s="18"/>
      <c r="AH526" s="18"/>
      <c r="AI526" s="18"/>
    </row>
    <row r="527" spans="5:35" x14ac:dyDescent="0.25">
      <c r="E527" s="28"/>
      <c r="I527" s="28"/>
      <c r="X527" s="18"/>
      <c r="Y527" s="18"/>
      <c r="AG527" s="18"/>
      <c r="AH527" s="18"/>
      <c r="AI527" s="18"/>
    </row>
    <row r="528" spans="5:35" x14ac:dyDescent="0.25">
      <c r="E528" s="28"/>
      <c r="I528" s="28"/>
      <c r="X528" s="18"/>
      <c r="Y528" s="18"/>
      <c r="AG528" s="18"/>
      <c r="AH528" s="18"/>
      <c r="AI528" s="18"/>
    </row>
    <row r="529" spans="5:35" x14ac:dyDescent="0.25">
      <c r="E529" s="28"/>
      <c r="I529" s="28"/>
      <c r="X529" s="18"/>
      <c r="Y529" s="18"/>
      <c r="AG529" s="18"/>
      <c r="AH529" s="18"/>
      <c r="AI529" s="18"/>
    </row>
    <row r="530" spans="5:35" x14ac:dyDescent="0.25">
      <c r="E530" s="28"/>
      <c r="I530" s="28"/>
      <c r="X530" s="18"/>
      <c r="Y530" s="18"/>
      <c r="AG530" s="18"/>
      <c r="AH530" s="18"/>
      <c r="AI530" s="18"/>
    </row>
    <row r="531" spans="5:35" x14ac:dyDescent="0.25">
      <c r="E531" s="28"/>
      <c r="I531" s="28"/>
      <c r="X531" s="18"/>
      <c r="Y531" s="18"/>
      <c r="AG531" s="18"/>
      <c r="AH531" s="18"/>
      <c r="AI531" s="18"/>
    </row>
    <row r="532" spans="5:35" x14ac:dyDescent="0.25">
      <c r="E532" s="28"/>
      <c r="I532" s="28"/>
      <c r="X532" s="18"/>
      <c r="Y532" s="18"/>
      <c r="AG532" s="18"/>
      <c r="AH532" s="18"/>
      <c r="AI532" s="18"/>
    </row>
    <row r="533" spans="5:35" x14ac:dyDescent="0.25">
      <c r="E533" s="28"/>
      <c r="I533" s="28"/>
      <c r="X533" s="18"/>
      <c r="Y533" s="18"/>
      <c r="AG533" s="18"/>
      <c r="AH533" s="18"/>
      <c r="AI533" s="18"/>
    </row>
    <row r="534" spans="5:35" x14ac:dyDescent="0.25">
      <c r="E534" s="28"/>
      <c r="I534" s="28"/>
      <c r="X534" s="18"/>
      <c r="Y534" s="18"/>
      <c r="AG534" s="18"/>
      <c r="AH534" s="18"/>
      <c r="AI534" s="18"/>
    </row>
    <row r="535" spans="5:35" x14ac:dyDescent="0.25">
      <c r="E535" s="28"/>
      <c r="I535" s="28"/>
      <c r="X535" s="18"/>
      <c r="Y535" s="18"/>
      <c r="AG535" s="18"/>
      <c r="AH535" s="18"/>
      <c r="AI535" s="18"/>
    </row>
    <row r="536" spans="5:35" x14ac:dyDescent="0.25">
      <c r="E536" s="28"/>
      <c r="I536" s="28"/>
      <c r="X536" s="18"/>
      <c r="Y536" s="18"/>
      <c r="AG536" s="18"/>
      <c r="AH536" s="18"/>
      <c r="AI536" s="18"/>
    </row>
    <row r="537" spans="5:35" x14ac:dyDescent="0.25">
      <c r="E537" s="28"/>
      <c r="I537" s="28"/>
      <c r="X537" s="18"/>
      <c r="Y537" s="18"/>
      <c r="AG537" s="18"/>
      <c r="AH537" s="18"/>
      <c r="AI537" s="18"/>
    </row>
    <row r="538" spans="5:35" x14ac:dyDescent="0.25">
      <c r="E538" s="28"/>
      <c r="I538" s="28"/>
      <c r="X538" s="18"/>
      <c r="Y538" s="18"/>
      <c r="AG538" s="18"/>
      <c r="AH538" s="18"/>
      <c r="AI538" s="18"/>
    </row>
    <row r="539" spans="5:35" x14ac:dyDescent="0.25">
      <c r="E539" s="28"/>
      <c r="I539" s="28"/>
      <c r="X539" s="18"/>
      <c r="Y539" s="18"/>
      <c r="AG539" s="18"/>
      <c r="AH539" s="18"/>
      <c r="AI539" s="18"/>
    </row>
    <row r="540" spans="5:35" x14ac:dyDescent="0.25">
      <c r="E540" s="28"/>
      <c r="I540" s="28"/>
      <c r="X540" s="18"/>
      <c r="Y540" s="18"/>
      <c r="AG540" s="18"/>
      <c r="AH540" s="18"/>
      <c r="AI540" s="18"/>
    </row>
    <row r="541" spans="5:35" x14ac:dyDescent="0.25">
      <c r="E541" s="28"/>
      <c r="I541" s="28"/>
      <c r="X541" s="18"/>
      <c r="Y541" s="18"/>
      <c r="AG541" s="18"/>
      <c r="AH541" s="18"/>
      <c r="AI541" s="18"/>
    </row>
    <row r="542" spans="5:35" x14ac:dyDescent="0.25">
      <c r="E542" s="28"/>
      <c r="I542" s="28"/>
      <c r="X542" s="18"/>
      <c r="Y542" s="18"/>
      <c r="AG542" s="18"/>
      <c r="AH542" s="18"/>
      <c r="AI542" s="18"/>
    </row>
    <row r="543" spans="5:35" x14ac:dyDescent="0.25">
      <c r="E543" s="28"/>
      <c r="I543" s="28"/>
      <c r="X543" s="18"/>
      <c r="Y543" s="18"/>
      <c r="AG543" s="18"/>
      <c r="AH543" s="18"/>
      <c r="AI543" s="18"/>
    </row>
    <row r="544" spans="5:35" x14ac:dyDescent="0.25">
      <c r="E544" s="28"/>
      <c r="I544" s="28"/>
      <c r="X544" s="18"/>
      <c r="Y544" s="18"/>
      <c r="AG544" s="18"/>
      <c r="AH544" s="18"/>
      <c r="AI544" s="18"/>
    </row>
    <row r="545" spans="5:35" x14ac:dyDescent="0.25">
      <c r="E545" s="28"/>
      <c r="I545" s="28"/>
      <c r="X545" s="18"/>
      <c r="Y545" s="18"/>
      <c r="AG545" s="18"/>
      <c r="AH545" s="18"/>
      <c r="AI545" s="18"/>
    </row>
    <row r="546" spans="5:35" x14ac:dyDescent="0.25">
      <c r="E546" s="28"/>
      <c r="I546" s="28"/>
      <c r="X546" s="18"/>
      <c r="Y546" s="18"/>
      <c r="AG546" s="18"/>
      <c r="AH546" s="18"/>
      <c r="AI546" s="18"/>
    </row>
    <row r="547" spans="5:35" x14ac:dyDescent="0.25">
      <c r="E547" s="28"/>
      <c r="I547" s="28"/>
      <c r="X547" s="18"/>
      <c r="Y547" s="18"/>
      <c r="AG547" s="18"/>
      <c r="AH547" s="18"/>
      <c r="AI547" s="18"/>
    </row>
    <row r="548" spans="5:35" x14ac:dyDescent="0.25">
      <c r="E548" s="28"/>
      <c r="I548" s="28"/>
      <c r="X548" s="18"/>
      <c r="Y548" s="18"/>
      <c r="AG548" s="18"/>
      <c r="AH548" s="18"/>
      <c r="AI548" s="18"/>
    </row>
    <row r="549" spans="5:35" x14ac:dyDescent="0.25">
      <c r="E549" s="28"/>
      <c r="I549" s="28"/>
      <c r="X549" s="18"/>
      <c r="Y549" s="18"/>
      <c r="AG549" s="18"/>
      <c r="AH549" s="18"/>
      <c r="AI549" s="18"/>
    </row>
    <row r="550" spans="5:35" x14ac:dyDescent="0.25">
      <c r="E550" s="28"/>
      <c r="I550" s="28"/>
      <c r="X550" s="18"/>
      <c r="Y550" s="18"/>
      <c r="AG550" s="18"/>
      <c r="AH550" s="18"/>
      <c r="AI550" s="18"/>
    </row>
    <row r="551" spans="5:35" x14ac:dyDescent="0.25">
      <c r="E551" s="28"/>
      <c r="I551" s="28"/>
      <c r="X551" s="18"/>
      <c r="Y551" s="18"/>
      <c r="AG551" s="18"/>
      <c r="AH551" s="18"/>
      <c r="AI551" s="18"/>
    </row>
    <row r="552" spans="5:35" x14ac:dyDescent="0.25">
      <c r="E552" s="28"/>
      <c r="I552" s="28"/>
      <c r="X552" s="18"/>
      <c r="Y552" s="18"/>
      <c r="AG552" s="18"/>
      <c r="AH552" s="18"/>
      <c r="AI552" s="18"/>
    </row>
    <row r="553" spans="5:35" x14ac:dyDescent="0.25">
      <c r="E553" s="28"/>
      <c r="I553" s="28"/>
      <c r="X553" s="18"/>
      <c r="Y553" s="18"/>
      <c r="AG553" s="18"/>
      <c r="AH553" s="18"/>
      <c r="AI553" s="18"/>
    </row>
    <row r="554" spans="5:35" x14ac:dyDescent="0.25">
      <c r="E554" s="28"/>
      <c r="I554" s="28"/>
      <c r="X554" s="18"/>
      <c r="Y554" s="18"/>
      <c r="AG554" s="18"/>
      <c r="AH554" s="18"/>
      <c r="AI554" s="18"/>
    </row>
    <row r="555" spans="5:35" x14ac:dyDescent="0.25">
      <c r="E555" s="28"/>
      <c r="I555" s="28"/>
      <c r="X555" s="18"/>
      <c r="Y555" s="18"/>
      <c r="AG555" s="18"/>
      <c r="AH555" s="18"/>
      <c r="AI555" s="18"/>
    </row>
    <row r="556" spans="5:35" x14ac:dyDescent="0.25">
      <c r="E556" s="28"/>
      <c r="I556" s="28"/>
      <c r="X556" s="18"/>
      <c r="Y556" s="18"/>
      <c r="AG556" s="18"/>
      <c r="AH556" s="18"/>
      <c r="AI556" s="18"/>
    </row>
    <row r="557" spans="5:35" x14ac:dyDescent="0.25">
      <c r="E557" s="28"/>
      <c r="I557" s="28"/>
      <c r="X557" s="18"/>
      <c r="Y557" s="18"/>
      <c r="AG557" s="18"/>
      <c r="AH557" s="18"/>
      <c r="AI557" s="18"/>
    </row>
    <row r="558" spans="5:35" x14ac:dyDescent="0.25">
      <c r="E558" s="28"/>
      <c r="I558" s="28"/>
      <c r="X558" s="18"/>
      <c r="Y558" s="18"/>
      <c r="AG558" s="18"/>
      <c r="AH558" s="18"/>
      <c r="AI558" s="18"/>
    </row>
    <row r="559" spans="5:35" x14ac:dyDescent="0.25">
      <c r="E559" s="28"/>
      <c r="I559" s="28"/>
      <c r="X559" s="18"/>
      <c r="Y559" s="18"/>
      <c r="AG559" s="18"/>
      <c r="AH559" s="18"/>
      <c r="AI559" s="18"/>
    </row>
    <row r="560" spans="5:35" x14ac:dyDescent="0.25">
      <c r="E560" s="28"/>
      <c r="I560" s="28"/>
      <c r="X560" s="18"/>
      <c r="Y560" s="18"/>
      <c r="AG560" s="18"/>
      <c r="AH560" s="18"/>
      <c r="AI560" s="18"/>
    </row>
    <row r="561" spans="5:35" x14ac:dyDescent="0.25">
      <c r="E561" s="28"/>
      <c r="I561" s="28"/>
      <c r="X561" s="18"/>
      <c r="Y561" s="18"/>
      <c r="AG561" s="18"/>
      <c r="AH561" s="18"/>
      <c r="AI561" s="18"/>
    </row>
    <row r="562" spans="5:35" x14ac:dyDescent="0.25">
      <c r="E562" s="28"/>
      <c r="I562" s="28"/>
      <c r="X562" s="18"/>
      <c r="Y562" s="18"/>
      <c r="AG562" s="18"/>
      <c r="AH562" s="18"/>
      <c r="AI562" s="18"/>
    </row>
    <row r="563" spans="5:35" x14ac:dyDescent="0.25">
      <c r="E563" s="28"/>
      <c r="I563" s="28"/>
      <c r="X563" s="18"/>
      <c r="Y563" s="18"/>
      <c r="AG563" s="18"/>
      <c r="AH563" s="18"/>
      <c r="AI563" s="18"/>
    </row>
    <row r="564" spans="5:35" x14ac:dyDescent="0.25">
      <c r="E564" s="28"/>
      <c r="I564" s="28"/>
      <c r="X564" s="18"/>
      <c r="Y564" s="18"/>
      <c r="AG564" s="18"/>
      <c r="AH564" s="18"/>
      <c r="AI564" s="18"/>
    </row>
    <row r="565" spans="5:35" x14ac:dyDescent="0.25">
      <c r="E565" s="28"/>
      <c r="I565" s="28"/>
      <c r="X565" s="18"/>
      <c r="Y565" s="18"/>
      <c r="AG565" s="18"/>
      <c r="AH565" s="18"/>
      <c r="AI565" s="18"/>
    </row>
    <row r="566" spans="5:35" x14ac:dyDescent="0.25">
      <c r="E566" s="28"/>
      <c r="I566" s="28"/>
      <c r="X566" s="18"/>
      <c r="Y566" s="18"/>
      <c r="AG566" s="18"/>
      <c r="AH566" s="18"/>
      <c r="AI566" s="18"/>
    </row>
    <row r="567" spans="5:35" x14ac:dyDescent="0.25">
      <c r="E567" s="28"/>
      <c r="I567" s="28"/>
      <c r="X567" s="18"/>
      <c r="Y567" s="18"/>
      <c r="AG567" s="18"/>
      <c r="AH567" s="18"/>
      <c r="AI567" s="18"/>
    </row>
    <row r="568" spans="5:35" x14ac:dyDescent="0.25">
      <c r="E568" s="28"/>
      <c r="I568" s="28"/>
      <c r="X568" s="18"/>
      <c r="Y568" s="18"/>
      <c r="AG568" s="18"/>
      <c r="AH568" s="18"/>
      <c r="AI568" s="18"/>
    </row>
    <row r="569" spans="5:35" x14ac:dyDescent="0.25">
      <c r="E569" s="28"/>
      <c r="I569" s="28"/>
      <c r="X569" s="18"/>
      <c r="Y569" s="18"/>
      <c r="AG569" s="18"/>
      <c r="AH569" s="18"/>
      <c r="AI569" s="18"/>
    </row>
    <row r="570" spans="5:35" x14ac:dyDescent="0.25">
      <c r="E570" s="28"/>
      <c r="I570" s="28"/>
      <c r="X570" s="18"/>
      <c r="Y570" s="18"/>
      <c r="AG570" s="18"/>
      <c r="AH570" s="18"/>
      <c r="AI570" s="18"/>
    </row>
    <row r="571" spans="5:35" x14ac:dyDescent="0.25">
      <c r="E571" s="28"/>
      <c r="I571" s="28"/>
      <c r="X571" s="18"/>
      <c r="Y571" s="18"/>
      <c r="AG571" s="18"/>
      <c r="AH571" s="18"/>
      <c r="AI571" s="18"/>
    </row>
    <row r="572" spans="5:35" x14ac:dyDescent="0.25">
      <c r="E572" s="28"/>
      <c r="I572" s="28"/>
      <c r="X572" s="18"/>
      <c r="Y572" s="18"/>
      <c r="AG572" s="18"/>
      <c r="AH572" s="18"/>
      <c r="AI572" s="18"/>
    </row>
    <row r="573" spans="5:35" x14ac:dyDescent="0.25">
      <c r="E573" s="28"/>
      <c r="I573" s="28"/>
      <c r="X573" s="18"/>
      <c r="Y573" s="18"/>
      <c r="AG573" s="18"/>
      <c r="AH573" s="18"/>
      <c r="AI573" s="18"/>
    </row>
    <row r="574" spans="5:35" x14ac:dyDescent="0.25">
      <c r="E574" s="28"/>
      <c r="I574" s="28"/>
      <c r="X574" s="18"/>
      <c r="Y574" s="18"/>
      <c r="AG574" s="18"/>
      <c r="AH574" s="18"/>
      <c r="AI574" s="18"/>
    </row>
    <row r="575" spans="5:35" x14ac:dyDescent="0.25">
      <c r="E575" s="28"/>
      <c r="I575" s="28"/>
      <c r="X575" s="18"/>
      <c r="Y575" s="18"/>
      <c r="AG575" s="18"/>
      <c r="AH575" s="18"/>
      <c r="AI575" s="18"/>
    </row>
    <row r="576" spans="5:35" x14ac:dyDescent="0.25">
      <c r="E576" s="28"/>
      <c r="I576" s="28"/>
      <c r="X576" s="18"/>
      <c r="Y576" s="18"/>
      <c r="AG576" s="18"/>
      <c r="AH576" s="18"/>
      <c r="AI576" s="18"/>
    </row>
    <row r="577" spans="5:35" x14ac:dyDescent="0.25">
      <c r="E577" s="28"/>
      <c r="I577" s="28"/>
      <c r="X577" s="18"/>
      <c r="Y577" s="18"/>
      <c r="AG577" s="18"/>
      <c r="AH577" s="18"/>
      <c r="AI577" s="18"/>
    </row>
    <row r="578" spans="5:35" x14ac:dyDescent="0.25">
      <c r="E578" s="28"/>
      <c r="I578" s="28"/>
      <c r="X578" s="18"/>
      <c r="Y578" s="18"/>
      <c r="AG578" s="18"/>
      <c r="AH578" s="18"/>
      <c r="AI578" s="18"/>
    </row>
    <row r="579" spans="5:35" x14ac:dyDescent="0.25">
      <c r="E579" s="28"/>
      <c r="I579" s="28"/>
      <c r="X579" s="18"/>
      <c r="Y579" s="18"/>
      <c r="AG579" s="18"/>
      <c r="AH579" s="18"/>
      <c r="AI579" s="18"/>
    </row>
    <row r="580" spans="5:35" x14ac:dyDescent="0.25">
      <c r="E580" s="28"/>
      <c r="I580" s="28"/>
      <c r="X580" s="18"/>
      <c r="Y580" s="18"/>
      <c r="AG580" s="18"/>
      <c r="AH580" s="18"/>
      <c r="AI580" s="18"/>
    </row>
    <row r="581" spans="5:35" x14ac:dyDescent="0.25">
      <c r="E581" s="28"/>
      <c r="I581" s="28"/>
      <c r="X581" s="18"/>
      <c r="Y581" s="18"/>
      <c r="AG581" s="18"/>
      <c r="AH581" s="18"/>
      <c r="AI581" s="18"/>
    </row>
    <row r="582" spans="5:35" x14ac:dyDescent="0.25">
      <c r="E582" s="28"/>
      <c r="I582" s="28"/>
      <c r="X582" s="18"/>
      <c r="Y582" s="18"/>
      <c r="AG582" s="18"/>
      <c r="AH582" s="18"/>
      <c r="AI582" s="18"/>
    </row>
    <row r="583" spans="5:35" x14ac:dyDescent="0.25">
      <c r="E583" s="28"/>
      <c r="I583" s="28"/>
      <c r="X583" s="18"/>
      <c r="Y583" s="18"/>
      <c r="AG583" s="18"/>
      <c r="AH583" s="18"/>
      <c r="AI583" s="18"/>
    </row>
    <row r="584" spans="5:35" x14ac:dyDescent="0.25">
      <c r="E584" s="28"/>
      <c r="I584" s="28"/>
      <c r="X584" s="18"/>
      <c r="Y584" s="18"/>
      <c r="AG584" s="18"/>
      <c r="AH584" s="18"/>
      <c r="AI584" s="18"/>
    </row>
    <row r="585" spans="5:35" x14ac:dyDescent="0.25">
      <c r="E585" s="28"/>
      <c r="I585" s="28"/>
      <c r="X585" s="18"/>
      <c r="Y585" s="18"/>
      <c r="AG585" s="18"/>
      <c r="AH585" s="18"/>
      <c r="AI585" s="18"/>
    </row>
    <row r="586" spans="5:35" x14ac:dyDescent="0.25">
      <c r="E586" s="28"/>
      <c r="I586" s="28"/>
      <c r="X586" s="18"/>
      <c r="Y586" s="18"/>
      <c r="AG586" s="18"/>
      <c r="AH586" s="18"/>
      <c r="AI586" s="18"/>
    </row>
    <row r="587" spans="5:35" x14ac:dyDescent="0.25">
      <c r="E587" s="28"/>
      <c r="I587" s="28"/>
      <c r="X587" s="18"/>
      <c r="Y587" s="18"/>
      <c r="AG587" s="18"/>
      <c r="AH587" s="18"/>
      <c r="AI587" s="18"/>
    </row>
    <row r="588" spans="5:35" x14ac:dyDescent="0.25">
      <c r="E588" s="28"/>
      <c r="I588" s="28"/>
      <c r="X588" s="18"/>
      <c r="Y588" s="18"/>
      <c r="AG588" s="18"/>
      <c r="AH588" s="18"/>
      <c r="AI588" s="18"/>
    </row>
    <row r="589" spans="5:35" x14ac:dyDescent="0.25">
      <c r="E589" s="28"/>
      <c r="I589" s="28"/>
      <c r="X589" s="18"/>
      <c r="Y589" s="18"/>
      <c r="AG589" s="18"/>
      <c r="AH589" s="18"/>
      <c r="AI589" s="18"/>
    </row>
    <row r="590" spans="5:35" x14ac:dyDescent="0.25">
      <c r="E590" s="28"/>
      <c r="I590" s="28"/>
      <c r="X590" s="18"/>
      <c r="Y590" s="18"/>
      <c r="AG590" s="18"/>
      <c r="AH590" s="18"/>
      <c r="AI590" s="18"/>
    </row>
    <row r="591" spans="5:35" x14ac:dyDescent="0.25">
      <c r="E591" s="28"/>
      <c r="I591" s="28"/>
      <c r="X591" s="18"/>
      <c r="Y591" s="18"/>
      <c r="AG591" s="18"/>
      <c r="AH591" s="18"/>
      <c r="AI591" s="18"/>
    </row>
    <row r="592" spans="5:35" x14ac:dyDescent="0.25">
      <c r="E592" s="28"/>
      <c r="I592" s="28"/>
      <c r="X592" s="18"/>
      <c r="Y592" s="18"/>
      <c r="AG592" s="18"/>
      <c r="AH592" s="18"/>
      <c r="AI592" s="18"/>
    </row>
    <row r="593" spans="5:35" x14ac:dyDescent="0.25">
      <c r="E593" s="28"/>
      <c r="I593" s="28"/>
      <c r="X593" s="18"/>
      <c r="Y593" s="18"/>
      <c r="AG593" s="18"/>
      <c r="AH593" s="18"/>
      <c r="AI593" s="18"/>
    </row>
    <row r="594" spans="5:35" x14ac:dyDescent="0.25">
      <c r="E594" s="28"/>
      <c r="I594" s="28"/>
      <c r="X594" s="18"/>
      <c r="Y594" s="18"/>
      <c r="AG594" s="18"/>
      <c r="AH594" s="18"/>
      <c r="AI594" s="18"/>
    </row>
    <row r="595" spans="5:35" x14ac:dyDescent="0.25">
      <c r="E595" s="28"/>
      <c r="I595" s="28"/>
      <c r="X595" s="18"/>
      <c r="Y595" s="18"/>
      <c r="AG595" s="18"/>
      <c r="AH595" s="18"/>
      <c r="AI595" s="18"/>
    </row>
    <row r="596" spans="5:35" x14ac:dyDescent="0.25">
      <c r="E596" s="28"/>
      <c r="I596" s="28"/>
      <c r="X596" s="18"/>
      <c r="Y596" s="18"/>
      <c r="AG596" s="18"/>
      <c r="AH596" s="18"/>
      <c r="AI596" s="18"/>
    </row>
    <row r="597" spans="5:35" x14ac:dyDescent="0.25">
      <c r="E597" s="28"/>
      <c r="I597" s="28"/>
      <c r="X597" s="18"/>
      <c r="Y597" s="18"/>
      <c r="AG597" s="18"/>
      <c r="AH597" s="18"/>
      <c r="AI597" s="18"/>
    </row>
    <row r="598" spans="5:35" x14ac:dyDescent="0.25">
      <c r="E598" s="28"/>
      <c r="I598" s="28"/>
      <c r="X598" s="18"/>
      <c r="Y598" s="18"/>
      <c r="AG598" s="18"/>
      <c r="AH598" s="18"/>
      <c r="AI598" s="18"/>
    </row>
    <row r="599" spans="5:35" x14ac:dyDescent="0.25">
      <c r="E599" s="28"/>
      <c r="I599" s="28"/>
      <c r="X599" s="18"/>
      <c r="Y599" s="18"/>
      <c r="AG599" s="18"/>
      <c r="AH599" s="18"/>
      <c r="AI599" s="18"/>
    </row>
    <row r="600" spans="5:35" x14ac:dyDescent="0.25">
      <c r="E600" s="28"/>
      <c r="I600" s="28"/>
      <c r="X600" s="18"/>
      <c r="Y600" s="18"/>
      <c r="AG600" s="18"/>
      <c r="AH600" s="18"/>
      <c r="AI600" s="18"/>
    </row>
    <row r="601" spans="5:35" x14ac:dyDescent="0.25">
      <c r="E601" s="28"/>
      <c r="I601" s="28"/>
      <c r="X601" s="18"/>
      <c r="Y601" s="18"/>
      <c r="AG601" s="18"/>
      <c r="AH601" s="18"/>
      <c r="AI601" s="18"/>
    </row>
    <row r="602" spans="5:35" x14ac:dyDescent="0.25">
      <c r="E602" s="28"/>
      <c r="I602" s="28"/>
      <c r="X602" s="18"/>
      <c r="Y602" s="18"/>
      <c r="AG602" s="18"/>
      <c r="AH602" s="18"/>
      <c r="AI602" s="18"/>
    </row>
    <row r="603" spans="5:35" x14ac:dyDescent="0.25">
      <c r="E603" s="28"/>
      <c r="I603" s="28"/>
      <c r="X603" s="18"/>
      <c r="Y603" s="18"/>
      <c r="AG603" s="18"/>
      <c r="AH603" s="18"/>
      <c r="AI603" s="18"/>
    </row>
    <row r="604" spans="5:35" x14ac:dyDescent="0.25">
      <c r="E604" s="28"/>
      <c r="I604" s="28"/>
      <c r="X604" s="18"/>
      <c r="Y604" s="18"/>
      <c r="AG604" s="18"/>
      <c r="AH604" s="18"/>
      <c r="AI604" s="18"/>
    </row>
    <row r="605" spans="5:35" x14ac:dyDescent="0.25">
      <c r="E605" s="28"/>
      <c r="I605" s="28"/>
      <c r="X605" s="18"/>
      <c r="Y605" s="18"/>
      <c r="AG605" s="18"/>
      <c r="AH605" s="18"/>
      <c r="AI605" s="18"/>
    </row>
    <row r="606" spans="5:35" x14ac:dyDescent="0.25">
      <c r="E606" s="28"/>
      <c r="I606" s="28"/>
      <c r="X606" s="18"/>
      <c r="Y606" s="18"/>
      <c r="AG606" s="18"/>
      <c r="AH606" s="18"/>
      <c r="AI606" s="18"/>
    </row>
    <row r="607" spans="5:35" x14ac:dyDescent="0.25">
      <c r="E607" s="28"/>
      <c r="I607" s="28"/>
      <c r="X607" s="18"/>
      <c r="Y607" s="18"/>
      <c r="AG607" s="18"/>
      <c r="AH607" s="18"/>
      <c r="AI607" s="18"/>
    </row>
    <row r="608" spans="5:35" x14ac:dyDescent="0.25">
      <c r="E608" s="28"/>
      <c r="I608" s="28"/>
      <c r="X608" s="18"/>
      <c r="Y608" s="18"/>
      <c r="AG608" s="18"/>
      <c r="AH608" s="18"/>
      <c r="AI608" s="18"/>
    </row>
    <row r="609" spans="5:35" x14ac:dyDescent="0.25">
      <c r="E609" s="28"/>
      <c r="I609" s="28"/>
      <c r="X609" s="18"/>
      <c r="Y609" s="18"/>
      <c r="AG609" s="18"/>
      <c r="AH609" s="18"/>
      <c r="AI609" s="18"/>
    </row>
    <row r="610" spans="5:35" x14ac:dyDescent="0.25">
      <c r="E610" s="28"/>
      <c r="I610" s="28"/>
      <c r="X610" s="18"/>
      <c r="Y610" s="18"/>
      <c r="AG610" s="18"/>
      <c r="AH610" s="18"/>
      <c r="AI610" s="18"/>
    </row>
    <row r="611" spans="5:35" x14ac:dyDescent="0.25">
      <c r="E611" s="28"/>
      <c r="I611" s="28"/>
      <c r="X611" s="18"/>
      <c r="Y611" s="18"/>
      <c r="AG611" s="18"/>
      <c r="AH611" s="18"/>
      <c r="AI611" s="18"/>
    </row>
    <row r="612" spans="5:35" x14ac:dyDescent="0.25">
      <c r="E612" s="28"/>
      <c r="I612" s="28"/>
      <c r="X612" s="18"/>
      <c r="Y612" s="18"/>
      <c r="AG612" s="18"/>
      <c r="AH612" s="18"/>
      <c r="AI612" s="18"/>
    </row>
    <row r="613" spans="5:35" x14ac:dyDescent="0.25">
      <c r="E613" s="28"/>
      <c r="I613" s="28"/>
      <c r="X613" s="18"/>
      <c r="Y613" s="18"/>
      <c r="AG613" s="18"/>
      <c r="AH613" s="18"/>
      <c r="AI613" s="18"/>
    </row>
    <row r="614" spans="5:35" x14ac:dyDescent="0.25">
      <c r="E614" s="28"/>
      <c r="I614" s="28"/>
      <c r="X614" s="18"/>
      <c r="Y614" s="18"/>
      <c r="AG614" s="18"/>
      <c r="AH614" s="18"/>
      <c r="AI614" s="18"/>
    </row>
    <row r="615" spans="5:35" x14ac:dyDescent="0.25">
      <c r="E615" s="28"/>
      <c r="I615" s="28"/>
      <c r="X615" s="18"/>
      <c r="Y615" s="18"/>
      <c r="AG615" s="18"/>
      <c r="AH615" s="18"/>
      <c r="AI615" s="18"/>
    </row>
    <row r="616" spans="5:35" x14ac:dyDescent="0.25">
      <c r="E616" s="28"/>
      <c r="I616" s="28"/>
      <c r="X616" s="18"/>
      <c r="Y616" s="18"/>
      <c r="AG616" s="18"/>
      <c r="AH616" s="18"/>
      <c r="AI616" s="18"/>
    </row>
    <row r="617" spans="5:35" x14ac:dyDescent="0.25">
      <c r="E617" s="28"/>
      <c r="I617" s="28"/>
      <c r="X617" s="18"/>
      <c r="Y617" s="18"/>
      <c r="AG617" s="18"/>
      <c r="AH617" s="18"/>
      <c r="AI617" s="18"/>
    </row>
    <row r="618" spans="5:35" x14ac:dyDescent="0.25">
      <c r="E618" s="28"/>
      <c r="I618" s="28"/>
      <c r="X618" s="18"/>
      <c r="Y618" s="18"/>
      <c r="AG618" s="18"/>
      <c r="AH618" s="18"/>
      <c r="AI618" s="18"/>
    </row>
    <row r="619" spans="5:35" x14ac:dyDescent="0.25">
      <c r="E619" s="28"/>
      <c r="I619" s="28"/>
      <c r="X619" s="18"/>
      <c r="Y619" s="18"/>
      <c r="AG619" s="18"/>
      <c r="AH619" s="18"/>
      <c r="AI619" s="18"/>
    </row>
    <row r="620" spans="5:35" x14ac:dyDescent="0.25">
      <c r="E620" s="28"/>
      <c r="I620" s="28"/>
      <c r="X620" s="18"/>
      <c r="Y620" s="18"/>
      <c r="AG620" s="18"/>
      <c r="AH620" s="18"/>
      <c r="AI620" s="18"/>
    </row>
    <row r="621" spans="5:35" x14ac:dyDescent="0.25">
      <c r="E621" s="28"/>
      <c r="I621" s="28"/>
      <c r="X621" s="18"/>
      <c r="Y621" s="18"/>
      <c r="AG621" s="18"/>
      <c r="AH621" s="18"/>
      <c r="AI621" s="18"/>
    </row>
    <row r="622" spans="5:35" x14ac:dyDescent="0.25">
      <c r="E622" s="28"/>
      <c r="I622" s="28"/>
      <c r="X622" s="18"/>
      <c r="Y622" s="18"/>
      <c r="AG622" s="18"/>
      <c r="AH622" s="18"/>
      <c r="AI622" s="18"/>
    </row>
    <row r="623" spans="5:35" x14ac:dyDescent="0.25">
      <c r="E623" s="28"/>
      <c r="I623" s="28"/>
      <c r="X623" s="18"/>
      <c r="Y623" s="18"/>
      <c r="AG623" s="18"/>
      <c r="AH623" s="18"/>
      <c r="AI623" s="18"/>
    </row>
    <row r="624" spans="5:35" x14ac:dyDescent="0.25">
      <c r="E624" s="28"/>
      <c r="I624" s="28"/>
      <c r="X624" s="18"/>
      <c r="Y624" s="18"/>
      <c r="AG624" s="18"/>
      <c r="AH624" s="18"/>
      <c r="AI624" s="18"/>
    </row>
    <row r="625" spans="5:35" x14ac:dyDescent="0.25">
      <c r="E625" s="28"/>
      <c r="I625" s="28"/>
      <c r="X625" s="18"/>
      <c r="Y625" s="18"/>
      <c r="AG625" s="18"/>
      <c r="AH625" s="18"/>
      <c r="AI625" s="18"/>
    </row>
    <row r="626" spans="5:35" x14ac:dyDescent="0.25">
      <c r="E626" s="28"/>
      <c r="I626" s="28"/>
      <c r="X626" s="18"/>
      <c r="Y626" s="18"/>
      <c r="AG626" s="18"/>
      <c r="AH626" s="18"/>
      <c r="AI626" s="18"/>
    </row>
    <row r="627" spans="5:35" x14ac:dyDescent="0.25">
      <c r="E627" s="28"/>
      <c r="I627" s="28"/>
      <c r="X627" s="18"/>
      <c r="Y627" s="18"/>
      <c r="AG627" s="18"/>
      <c r="AH627" s="18"/>
      <c r="AI627" s="18"/>
    </row>
    <row r="628" spans="5:35" x14ac:dyDescent="0.25">
      <c r="E628" s="28"/>
      <c r="I628" s="28"/>
      <c r="X628" s="18"/>
      <c r="Y628" s="18"/>
      <c r="AG628" s="18"/>
      <c r="AH628" s="18"/>
      <c r="AI628" s="18"/>
    </row>
    <row r="629" spans="5:35" x14ac:dyDescent="0.25">
      <c r="E629" s="28"/>
      <c r="I629" s="28"/>
      <c r="X629" s="18"/>
      <c r="Y629" s="18"/>
      <c r="AG629" s="18"/>
      <c r="AH629" s="18"/>
      <c r="AI629" s="18"/>
    </row>
    <row r="630" spans="5:35" x14ac:dyDescent="0.25">
      <c r="E630" s="28"/>
      <c r="I630" s="28"/>
      <c r="X630" s="18"/>
      <c r="Y630" s="18"/>
      <c r="AG630" s="18"/>
      <c r="AH630" s="18"/>
      <c r="AI630" s="18"/>
    </row>
    <row r="631" spans="5:35" x14ac:dyDescent="0.25">
      <c r="E631" s="28"/>
      <c r="I631" s="28"/>
      <c r="X631" s="18"/>
      <c r="Y631" s="18"/>
      <c r="AG631" s="18"/>
      <c r="AH631" s="18"/>
      <c r="AI631" s="18"/>
    </row>
    <row r="632" spans="5:35" x14ac:dyDescent="0.25">
      <c r="E632" s="28"/>
      <c r="I632" s="28"/>
      <c r="X632" s="18"/>
      <c r="Y632" s="18"/>
      <c r="AG632" s="18"/>
      <c r="AH632" s="18"/>
      <c r="AI632" s="18"/>
    </row>
    <row r="633" spans="5:35" x14ac:dyDescent="0.25">
      <c r="E633" s="28"/>
      <c r="I633" s="28"/>
      <c r="X633" s="18"/>
      <c r="Y633" s="18"/>
      <c r="AG633" s="18"/>
      <c r="AH633" s="18"/>
      <c r="AI633" s="18"/>
    </row>
    <row r="634" spans="5:35" x14ac:dyDescent="0.25">
      <c r="E634" s="28"/>
      <c r="I634" s="28"/>
      <c r="X634" s="18"/>
      <c r="Y634" s="18"/>
      <c r="AG634" s="18"/>
      <c r="AH634" s="18"/>
      <c r="AI634" s="18"/>
    </row>
    <row r="635" spans="5:35" x14ac:dyDescent="0.25">
      <c r="E635" s="28"/>
      <c r="I635" s="28"/>
      <c r="X635" s="18"/>
      <c r="Y635" s="18"/>
      <c r="AG635" s="18"/>
      <c r="AH635" s="18"/>
      <c r="AI635" s="18"/>
    </row>
    <row r="636" spans="5:35" x14ac:dyDescent="0.25">
      <c r="E636" s="28"/>
      <c r="I636" s="28"/>
      <c r="X636" s="18"/>
      <c r="Y636" s="18"/>
      <c r="AG636" s="18"/>
      <c r="AH636" s="18"/>
      <c r="AI636" s="18"/>
    </row>
    <row r="637" spans="5:35" x14ac:dyDescent="0.25">
      <c r="E637" s="28"/>
      <c r="I637" s="28"/>
      <c r="X637" s="18"/>
      <c r="Y637" s="18"/>
      <c r="AG637" s="18"/>
      <c r="AH637" s="18"/>
      <c r="AI637" s="18"/>
    </row>
    <row r="638" spans="5:35" x14ac:dyDescent="0.25">
      <c r="E638" s="28"/>
      <c r="I638" s="28"/>
      <c r="X638" s="18"/>
      <c r="Y638" s="18"/>
      <c r="AG638" s="18"/>
      <c r="AH638" s="18"/>
      <c r="AI638" s="18"/>
    </row>
    <row r="639" spans="5:35" x14ac:dyDescent="0.25">
      <c r="E639" s="28"/>
      <c r="I639" s="28"/>
      <c r="X639" s="18"/>
      <c r="Y639" s="18"/>
      <c r="AG639" s="18"/>
      <c r="AH639" s="18"/>
      <c r="AI639" s="18"/>
    </row>
    <row r="640" spans="5:35" x14ac:dyDescent="0.25">
      <c r="E640" s="28"/>
      <c r="I640" s="28"/>
      <c r="X640" s="18"/>
      <c r="Y640" s="18"/>
      <c r="AG640" s="18"/>
      <c r="AH640" s="18"/>
      <c r="AI640" s="18"/>
    </row>
    <row r="641" spans="5:35" x14ac:dyDescent="0.25">
      <c r="E641" s="28"/>
      <c r="I641" s="28"/>
      <c r="X641" s="18"/>
      <c r="Y641" s="18"/>
      <c r="AG641" s="18"/>
      <c r="AH641" s="18"/>
      <c r="AI641" s="18"/>
    </row>
    <row r="642" spans="5:35" x14ac:dyDescent="0.25">
      <c r="E642" s="28"/>
      <c r="I642" s="28"/>
      <c r="X642" s="18"/>
      <c r="Y642" s="18"/>
      <c r="AG642" s="18"/>
      <c r="AH642" s="18"/>
      <c r="AI642" s="18"/>
    </row>
    <row r="643" spans="5:35" x14ac:dyDescent="0.25">
      <c r="E643" s="28"/>
      <c r="I643" s="28"/>
      <c r="X643" s="18"/>
      <c r="Y643" s="18"/>
      <c r="AG643" s="18"/>
      <c r="AH643" s="18"/>
      <c r="AI643" s="18"/>
    </row>
    <row r="644" spans="5:35" x14ac:dyDescent="0.25">
      <c r="E644" s="28"/>
      <c r="I644" s="28"/>
      <c r="X644" s="18"/>
      <c r="Y644" s="18"/>
      <c r="AG644" s="18"/>
      <c r="AH644" s="18"/>
      <c r="AI644" s="18"/>
    </row>
    <row r="645" spans="5:35" x14ac:dyDescent="0.25">
      <c r="E645" s="28"/>
      <c r="I645" s="28"/>
      <c r="X645" s="18"/>
      <c r="Y645" s="18"/>
      <c r="AG645" s="18"/>
      <c r="AH645" s="18"/>
      <c r="AI645" s="18"/>
    </row>
    <row r="646" spans="5:35" x14ac:dyDescent="0.25">
      <c r="E646" s="28"/>
      <c r="I646" s="28"/>
      <c r="X646" s="18"/>
      <c r="Y646" s="18"/>
      <c r="AG646" s="18"/>
      <c r="AH646" s="18"/>
      <c r="AI646" s="18"/>
    </row>
    <row r="647" spans="5:35" x14ac:dyDescent="0.25">
      <c r="E647" s="28"/>
      <c r="I647" s="28"/>
      <c r="X647" s="18"/>
      <c r="Y647" s="18"/>
      <c r="AG647" s="18"/>
      <c r="AH647" s="18"/>
      <c r="AI647" s="18"/>
    </row>
    <row r="648" spans="5:35" x14ac:dyDescent="0.25">
      <c r="E648" s="28"/>
      <c r="I648" s="28"/>
      <c r="X648" s="18"/>
      <c r="Y648" s="18"/>
      <c r="AG648" s="18"/>
      <c r="AH648" s="18"/>
      <c r="AI648" s="18"/>
    </row>
    <row r="649" spans="5:35" x14ac:dyDescent="0.25">
      <c r="E649" s="28"/>
      <c r="I649" s="28"/>
      <c r="X649" s="18"/>
      <c r="Y649" s="18"/>
      <c r="AG649" s="18"/>
      <c r="AH649" s="18"/>
      <c r="AI649" s="18"/>
    </row>
    <row r="650" spans="5:35" x14ac:dyDescent="0.25">
      <c r="E650" s="28"/>
      <c r="I650" s="28"/>
      <c r="X650" s="18"/>
      <c r="Y650" s="18"/>
      <c r="AG650" s="18"/>
      <c r="AH650" s="18"/>
      <c r="AI650" s="18"/>
    </row>
    <row r="651" spans="5:35" x14ac:dyDescent="0.25">
      <c r="E651" s="28"/>
      <c r="I651" s="28"/>
      <c r="X651" s="18"/>
      <c r="Y651" s="18"/>
      <c r="AG651" s="18"/>
      <c r="AH651" s="18"/>
      <c r="AI651" s="18"/>
    </row>
    <row r="652" spans="5:35" x14ac:dyDescent="0.25">
      <c r="E652" s="28"/>
      <c r="I652" s="28"/>
      <c r="X652" s="18"/>
      <c r="Y652" s="18"/>
      <c r="AG652" s="18"/>
      <c r="AH652" s="18"/>
      <c r="AI652" s="18"/>
    </row>
    <row r="653" spans="5:35" x14ac:dyDescent="0.25">
      <c r="E653" s="28"/>
      <c r="I653" s="28"/>
      <c r="X653" s="18"/>
      <c r="Y653" s="18"/>
      <c r="AG653" s="18"/>
      <c r="AH653" s="18"/>
      <c r="AI653" s="18"/>
    </row>
    <row r="654" spans="5:35" x14ac:dyDescent="0.25">
      <c r="E654" s="28"/>
      <c r="I654" s="28"/>
      <c r="X654" s="18"/>
      <c r="Y654" s="18"/>
      <c r="AG654" s="18"/>
      <c r="AH654" s="18"/>
      <c r="AI654" s="18"/>
    </row>
    <row r="655" spans="5:35" x14ac:dyDescent="0.25">
      <c r="E655" s="28"/>
      <c r="I655" s="28"/>
      <c r="X655" s="18"/>
      <c r="Y655" s="18"/>
      <c r="AG655" s="18"/>
      <c r="AH655" s="18"/>
      <c r="AI655" s="18"/>
    </row>
    <row r="656" spans="5:35" x14ac:dyDescent="0.25">
      <c r="E656" s="28"/>
      <c r="I656" s="28"/>
      <c r="X656" s="18"/>
      <c r="Y656" s="18"/>
      <c r="AG656" s="18"/>
      <c r="AH656" s="18"/>
      <c r="AI656" s="18"/>
    </row>
    <row r="657" spans="5:35" x14ac:dyDescent="0.25">
      <c r="E657" s="28"/>
      <c r="I657" s="28"/>
      <c r="X657" s="18"/>
      <c r="Y657" s="18"/>
      <c r="AG657" s="18"/>
      <c r="AH657" s="18"/>
      <c r="AI657" s="18"/>
    </row>
    <row r="658" spans="5:35" x14ac:dyDescent="0.25">
      <c r="E658" s="28"/>
      <c r="I658" s="28"/>
      <c r="X658" s="18"/>
      <c r="Y658" s="18"/>
      <c r="AG658" s="18"/>
      <c r="AH658" s="18"/>
      <c r="AI658" s="18"/>
    </row>
    <row r="659" spans="5:35" x14ac:dyDescent="0.25">
      <c r="E659" s="28"/>
      <c r="I659" s="28"/>
      <c r="X659" s="18"/>
      <c r="Y659" s="18"/>
      <c r="AG659" s="18"/>
      <c r="AH659" s="18"/>
      <c r="AI659" s="18"/>
    </row>
    <row r="660" spans="5:35" x14ac:dyDescent="0.25">
      <c r="E660" s="28"/>
      <c r="I660" s="28"/>
      <c r="X660" s="18"/>
      <c r="Y660" s="18"/>
      <c r="AG660" s="18"/>
      <c r="AH660" s="18"/>
      <c r="AI660" s="18"/>
    </row>
    <row r="661" spans="5:35" x14ac:dyDescent="0.25">
      <c r="E661" s="28"/>
      <c r="I661" s="28"/>
      <c r="X661" s="18"/>
      <c r="Y661" s="18"/>
      <c r="AG661" s="18"/>
      <c r="AH661" s="18"/>
      <c r="AI661" s="18"/>
    </row>
    <row r="662" spans="5:35" x14ac:dyDescent="0.25">
      <c r="E662" s="28"/>
      <c r="I662" s="28"/>
      <c r="X662" s="18"/>
      <c r="Y662" s="18"/>
      <c r="AG662" s="18"/>
      <c r="AH662" s="18"/>
      <c r="AI662" s="18"/>
    </row>
    <row r="663" spans="5:35" x14ac:dyDescent="0.25">
      <c r="E663" s="28"/>
      <c r="I663" s="28"/>
      <c r="X663" s="18"/>
      <c r="Y663" s="18"/>
      <c r="AG663" s="18"/>
      <c r="AH663" s="18"/>
      <c r="AI663" s="18"/>
    </row>
    <row r="664" spans="5:35" x14ac:dyDescent="0.25">
      <c r="E664" s="28"/>
      <c r="I664" s="28"/>
      <c r="X664" s="18"/>
      <c r="Y664" s="18"/>
      <c r="AG664" s="18"/>
      <c r="AH664" s="18"/>
      <c r="AI664" s="18"/>
    </row>
    <row r="665" spans="5:35" x14ac:dyDescent="0.25">
      <c r="E665" s="28"/>
      <c r="I665" s="28"/>
      <c r="X665" s="18"/>
      <c r="Y665" s="18"/>
      <c r="AG665" s="18"/>
      <c r="AH665" s="18"/>
      <c r="AI665" s="18"/>
    </row>
    <row r="666" spans="5:35" x14ac:dyDescent="0.25">
      <c r="E666" s="28"/>
      <c r="I666" s="28"/>
      <c r="X666" s="18"/>
      <c r="Y666" s="18"/>
      <c r="AG666" s="18"/>
      <c r="AH666" s="18"/>
      <c r="AI666" s="18"/>
    </row>
    <row r="667" spans="5:35" x14ac:dyDescent="0.25">
      <c r="E667" s="28"/>
      <c r="I667" s="28"/>
      <c r="X667" s="18"/>
      <c r="Y667" s="18"/>
      <c r="AG667" s="18"/>
      <c r="AH667" s="18"/>
      <c r="AI667" s="18"/>
    </row>
    <row r="668" spans="5:35" x14ac:dyDescent="0.25">
      <c r="E668" s="28"/>
      <c r="I668" s="28"/>
      <c r="X668" s="18"/>
      <c r="Y668" s="18"/>
      <c r="AG668" s="18"/>
      <c r="AH668" s="18"/>
      <c r="AI668" s="18"/>
    </row>
    <row r="669" spans="5:35" x14ac:dyDescent="0.25">
      <c r="E669" s="28"/>
      <c r="I669" s="28"/>
      <c r="X669" s="18"/>
      <c r="Y669" s="18"/>
      <c r="AG669" s="18"/>
      <c r="AH669" s="18"/>
      <c r="AI669" s="18"/>
    </row>
    <row r="670" spans="5:35" x14ac:dyDescent="0.25">
      <c r="E670" s="28"/>
      <c r="I670" s="28"/>
      <c r="X670" s="18"/>
      <c r="Y670" s="18"/>
      <c r="AG670" s="18"/>
      <c r="AH670" s="18"/>
      <c r="AI670" s="18"/>
    </row>
    <row r="671" spans="5:35" x14ac:dyDescent="0.25">
      <c r="E671" s="28"/>
      <c r="I671" s="28"/>
      <c r="X671" s="18"/>
      <c r="Y671" s="18"/>
      <c r="AG671" s="18"/>
      <c r="AH671" s="18"/>
      <c r="AI671" s="18"/>
    </row>
    <row r="672" spans="5:35" x14ac:dyDescent="0.25">
      <c r="E672" s="28"/>
      <c r="I672" s="28"/>
      <c r="X672" s="18"/>
      <c r="Y672" s="18"/>
      <c r="AG672" s="18"/>
      <c r="AH672" s="18"/>
      <c r="AI672" s="18"/>
    </row>
    <row r="673" spans="5:35" x14ac:dyDescent="0.25">
      <c r="E673" s="28"/>
      <c r="I673" s="28"/>
      <c r="X673" s="18"/>
      <c r="Y673" s="18"/>
      <c r="AG673" s="18"/>
      <c r="AH673" s="18"/>
      <c r="AI673" s="18"/>
    </row>
    <row r="674" spans="5:35" x14ac:dyDescent="0.25">
      <c r="E674" s="28"/>
      <c r="I674" s="28"/>
      <c r="X674" s="18"/>
      <c r="Y674" s="18"/>
      <c r="AG674" s="18"/>
      <c r="AH674" s="18"/>
      <c r="AI674" s="18"/>
    </row>
    <row r="675" spans="5:35" x14ac:dyDescent="0.25">
      <c r="E675" s="28"/>
      <c r="I675" s="28"/>
      <c r="X675" s="18"/>
      <c r="Y675" s="18"/>
      <c r="AG675" s="18"/>
      <c r="AH675" s="18"/>
      <c r="AI675" s="18"/>
    </row>
    <row r="676" spans="5:35" x14ac:dyDescent="0.25">
      <c r="E676" s="28"/>
      <c r="I676" s="28"/>
      <c r="X676" s="18"/>
      <c r="Y676" s="18"/>
      <c r="AG676" s="18"/>
      <c r="AH676" s="18"/>
      <c r="AI676" s="18"/>
    </row>
    <row r="677" spans="5:35" x14ac:dyDescent="0.25">
      <c r="E677" s="28"/>
      <c r="I677" s="28"/>
      <c r="X677" s="18"/>
      <c r="Y677" s="18"/>
      <c r="AG677" s="18"/>
      <c r="AH677" s="18"/>
      <c r="AI677" s="18"/>
    </row>
    <row r="678" spans="5:35" x14ac:dyDescent="0.25">
      <c r="E678" s="28"/>
      <c r="I678" s="28"/>
      <c r="X678" s="18"/>
      <c r="Y678" s="18"/>
      <c r="AG678" s="18"/>
      <c r="AH678" s="18"/>
      <c r="AI678" s="18"/>
    </row>
    <row r="679" spans="5:35" x14ac:dyDescent="0.25">
      <c r="E679" s="28"/>
      <c r="I679" s="28"/>
      <c r="X679" s="18"/>
      <c r="Y679" s="18"/>
      <c r="AG679" s="18"/>
      <c r="AH679" s="18"/>
      <c r="AI679" s="18"/>
    </row>
    <row r="680" spans="5:35" x14ac:dyDescent="0.25">
      <c r="E680" s="28"/>
      <c r="I680" s="28"/>
      <c r="X680" s="18"/>
      <c r="Y680" s="18"/>
      <c r="AG680" s="18"/>
      <c r="AH680" s="18"/>
      <c r="AI680" s="18"/>
    </row>
    <row r="681" spans="5:35" x14ac:dyDescent="0.25">
      <c r="E681" s="28"/>
      <c r="I681" s="28"/>
      <c r="X681" s="18"/>
      <c r="Y681" s="18"/>
      <c r="AG681" s="18"/>
      <c r="AH681" s="18"/>
      <c r="AI681" s="18"/>
    </row>
    <row r="682" spans="5:35" x14ac:dyDescent="0.25">
      <c r="E682" s="28"/>
      <c r="I682" s="28"/>
      <c r="X682" s="18"/>
      <c r="Y682" s="18"/>
      <c r="AG682" s="18"/>
      <c r="AH682" s="18"/>
      <c r="AI682" s="18"/>
    </row>
    <row r="683" spans="5:35" x14ac:dyDescent="0.25">
      <c r="E683" s="28"/>
      <c r="I683" s="28"/>
      <c r="X683" s="18"/>
      <c r="Y683" s="18"/>
      <c r="AG683" s="18"/>
      <c r="AH683" s="18"/>
      <c r="AI683" s="18"/>
    </row>
    <row r="684" spans="5:35" x14ac:dyDescent="0.25">
      <c r="E684" s="28"/>
      <c r="I684" s="28"/>
      <c r="X684" s="18"/>
      <c r="Y684" s="18"/>
      <c r="AG684" s="18"/>
      <c r="AH684" s="18"/>
      <c r="AI684" s="18"/>
    </row>
    <row r="685" spans="5:35" x14ac:dyDescent="0.25">
      <c r="E685" s="28"/>
      <c r="I685" s="28"/>
      <c r="X685" s="18"/>
      <c r="Y685" s="18"/>
      <c r="AG685" s="18"/>
      <c r="AH685" s="18"/>
      <c r="AI685" s="18"/>
    </row>
    <row r="686" spans="5:35" x14ac:dyDescent="0.25">
      <c r="E686" s="28"/>
      <c r="I686" s="28"/>
      <c r="X686" s="18"/>
      <c r="Y686" s="18"/>
      <c r="AG686" s="18"/>
      <c r="AH686" s="18"/>
      <c r="AI686" s="18"/>
    </row>
    <row r="687" spans="5:35" x14ac:dyDescent="0.25">
      <c r="E687" s="28"/>
      <c r="I687" s="28"/>
      <c r="X687" s="18"/>
      <c r="Y687" s="18"/>
      <c r="AG687" s="18"/>
      <c r="AH687" s="18"/>
      <c r="AI687" s="18"/>
    </row>
    <row r="688" spans="5:35" x14ac:dyDescent="0.25">
      <c r="E688" s="28"/>
      <c r="I688" s="28"/>
      <c r="X688" s="18"/>
      <c r="Y688" s="18"/>
      <c r="AG688" s="18"/>
      <c r="AH688" s="18"/>
      <c r="AI688" s="18"/>
    </row>
    <row r="689" spans="5:35" x14ac:dyDescent="0.25">
      <c r="E689" s="28"/>
      <c r="I689" s="28"/>
      <c r="X689" s="18"/>
      <c r="Y689" s="18"/>
      <c r="AG689" s="18"/>
      <c r="AH689" s="18"/>
      <c r="AI689" s="18"/>
    </row>
    <row r="690" spans="5:35" x14ac:dyDescent="0.25">
      <c r="E690" s="28"/>
      <c r="I690" s="28"/>
      <c r="X690" s="18"/>
      <c r="Y690" s="18"/>
      <c r="AG690" s="18"/>
      <c r="AH690" s="18"/>
      <c r="AI690" s="18"/>
    </row>
    <row r="691" spans="5:35" x14ac:dyDescent="0.25">
      <c r="E691" s="28"/>
      <c r="I691" s="28"/>
      <c r="X691" s="18"/>
      <c r="Y691" s="18"/>
      <c r="AG691" s="18"/>
      <c r="AH691" s="18"/>
      <c r="AI691" s="18"/>
    </row>
    <row r="692" spans="5:35" x14ac:dyDescent="0.25">
      <c r="E692" s="28"/>
      <c r="I692" s="28"/>
      <c r="X692" s="18"/>
      <c r="Y692" s="18"/>
      <c r="AG692" s="18"/>
      <c r="AH692" s="18"/>
      <c r="AI692" s="18"/>
    </row>
    <row r="693" spans="5:35" x14ac:dyDescent="0.25">
      <c r="E693" s="28"/>
      <c r="I693" s="28"/>
      <c r="X693" s="18"/>
      <c r="Y693" s="18"/>
      <c r="AG693" s="18"/>
      <c r="AH693" s="18"/>
      <c r="AI693" s="18"/>
    </row>
    <row r="694" spans="5:35" x14ac:dyDescent="0.25">
      <c r="E694" s="28"/>
      <c r="I694" s="28"/>
      <c r="X694" s="18"/>
      <c r="Y694" s="18"/>
      <c r="AG694" s="18"/>
      <c r="AH694" s="18"/>
      <c r="AI694" s="18"/>
    </row>
    <row r="695" spans="5:35" x14ac:dyDescent="0.25">
      <c r="E695" s="28"/>
      <c r="I695" s="28"/>
      <c r="X695" s="18"/>
      <c r="Y695" s="18"/>
      <c r="AG695" s="18"/>
      <c r="AH695" s="18"/>
      <c r="AI695" s="18"/>
    </row>
    <row r="696" spans="5:35" x14ac:dyDescent="0.25">
      <c r="E696" s="28"/>
      <c r="I696" s="28"/>
      <c r="X696" s="18"/>
      <c r="Y696" s="18"/>
      <c r="AG696" s="18"/>
      <c r="AH696" s="18"/>
      <c r="AI696" s="18"/>
    </row>
    <row r="697" spans="5:35" x14ac:dyDescent="0.25">
      <c r="E697" s="28"/>
      <c r="I697" s="28"/>
      <c r="X697" s="18"/>
      <c r="Y697" s="18"/>
      <c r="AG697" s="18"/>
      <c r="AH697" s="18"/>
      <c r="AI697" s="18"/>
    </row>
    <row r="698" spans="5:35" x14ac:dyDescent="0.25">
      <c r="E698" s="28"/>
      <c r="I698" s="28"/>
      <c r="X698" s="18"/>
      <c r="Y698" s="18"/>
      <c r="AG698" s="18"/>
      <c r="AH698" s="18"/>
      <c r="AI698" s="18"/>
    </row>
    <row r="699" spans="5:35" x14ac:dyDescent="0.25">
      <c r="E699" s="28"/>
      <c r="I699" s="28"/>
      <c r="X699" s="18"/>
      <c r="Y699" s="18"/>
      <c r="AG699" s="18"/>
      <c r="AH699" s="18"/>
      <c r="AI699" s="18"/>
    </row>
    <row r="700" spans="5:35" x14ac:dyDescent="0.25">
      <c r="E700" s="28"/>
      <c r="I700" s="28"/>
      <c r="X700" s="18"/>
      <c r="Y700" s="18"/>
      <c r="AG700" s="18"/>
      <c r="AH700" s="18"/>
      <c r="AI700" s="18"/>
    </row>
    <row r="701" spans="5:35" x14ac:dyDescent="0.25">
      <c r="E701" s="28"/>
      <c r="I701" s="28"/>
      <c r="X701" s="18"/>
      <c r="Y701" s="18"/>
      <c r="AG701" s="18"/>
      <c r="AH701" s="18"/>
      <c r="AI701" s="18"/>
    </row>
    <row r="702" spans="5:35" x14ac:dyDescent="0.25">
      <c r="E702" s="28"/>
      <c r="I702" s="28"/>
      <c r="X702" s="18"/>
      <c r="Y702" s="18"/>
      <c r="AG702" s="18"/>
      <c r="AH702" s="18"/>
      <c r="AI702" s="18"/>
    </row>
    <row r="703" spans="5:35" x14ac:dyDescent="0.25">
      <c r="E703" s="28"/>
      <c r="I703" s="28"/>
      <c r="X703" s="18"/>
      <c r="Y703" s="18"/>
      <c r="AG703" s="18"/>
      <c r="AH703" s="18"/>
      <c r="AI703" s="18"/>
    </row>
    <row r="704" spans="5:35" x14ac:dyDescent="0.25">
      <c r="E704" s="28"/>
      <c r="I704" s="28"/>
      <c r="X704" s="18"/>
      <c r="Y704" s="18"/>
      <c r="AG704" s="18"/>
      <c r="AH704" s="18"/>
      <c r="AI704" s="18"/>
    </row>
    <row r="705" spans="5:35" x14ac:dyDescent="0.25">
      <c r="E705" s="28"/>
      <c r="I705" s="28"/>
      <c r="X705" s="18"/>
      <c r="Y705" s="18"/>
      <c r="AG705" s="18"/>
      <c r="AH705" s="18"/>
      <c r="AI705" s="18"/>
    </row>
    <row r="706" spans="5:35" x14ac:dyDescent="0.25">
      <c r="E706" s="28"/>
      <c r="I706" s="28"/>
      <c r="X706" s="18"/>
      <c r="Y706" s="18"/>
      <c r="AG706" s="18"/>
      <c r="AH706" s="18"/>
      <c r="AI706" s="18"/>
    </row>
    <row r="707" spans="5:35" x14ac:dyDescent="0.25">
      <c r="E707" s="28"/>
      <c r="I707" s="28"/>
      <c r="X707" s="18"/>
      <c r="Y707" s="18"/>
      <c r="AG707" s="18"/>
      <c r="AH707" s="18"/>
      <c r="AI707" s="18"/>
    </row>
    <row r="708" spans="5:35" x14ac:dyDescent="0.25">
      <c r="E708" s="28"/>
      <c r="I708" s="28"/>
      <c r="X708" s="18"/>
      <c r="Y708" s="18"/>
      <c r="AG708" s="18"/>
      <c r="AH708" s="18"/>
      <c r="AI708" s="18"/>
    </row>
    <row r="709" spans="5:35" x14ac:dyDescent="0.25">
      <c r="E709" s="28"/>
      <c r="I709" s="28"/>
      <c r="X709" s="18"/>
      <c r="Y709" s="18"/>
      <c r="AG709" s="18"/>
      <c r="AH709" s="18"/>
      <c r="AI709" s="18"/>
    </row>
    <row r="710" spans="5:35" x14ac:dyDescent="0.25">
      <c r="E710" s="28"/>
      <c r="I710" s="28"/>
      <c r="X710" s="18"/>
      <c r="Y710" s="18"/>
      <c r="AG710" s="18"/>
      <c r="AH710" s="18"/>
      <c r="AI710" s="18"/>
    </row>
    <row r="711" spans="5:35" x14ac:dyDescent="0.25">
      <c r="E711" s="28"/>
      <c r="I711" s="28"/>
      <c r="X711" s="18"/>
      <c r="Y711" s="18"/>
      <c r="AG711" s="18"/>
      <c r="AH711" s="18"/>
      <c r="AI711" s="18"/>
    </row>
    <row r="712" spans="5:35" x14ac:dyDescent="0.25">
      <c r="E712" s="28"/>
      <c r="I712" s="28"/>
      <c r="X712" s="18"/>
      <c r="Y712" s="18"/>
      <c r="AG712" s="18"/>
      <c r="AH712" s="18"/>
      <c r="AI712" s="18"/>
    </row>
    <row r="713" spans="5:35" x14ac:dyDescent="0.25">
      <c r="E713" s="28"/>
      <c r="I713" s="28"/>
      <c r="X713" s="18"/>
      <c r="Y713" s="18"/>
      <c r="AG713" s="18"/>
      <c r="AH713" s="18"/>
      <c r="AI713" s="18"/>
    </row>
    <row r="714" spans="5:35" x14ac:dyDescent="0.25">
      <c r="E714" s="28"/>
      <c r="I714" s="28"/>
      <c r="X714" s="18"/>
      <c r="Y714" s="18"/>
      <c r="AG714" s="18"/>
      <c r="AH714" s="18"/>
      <c r="AI714" s="18"/>
    </row>
    <row r="715" spans="5:35" x14ac:dyDescent="0.25">
      <c r="E715" s="28"/>
      <c r="I715" s="28"/>
      <c r="X715" s="18"/>
      <c r="Y715" s="18"/>
      <c r="AG715" s="18"/>
      <c r="AH715" s="18"/>
      <c r="AI715" s="18"/>
    </row>
    <row r="716" spans="5:35" x14ac:dyDescent="0.25">
      <c r="E716" s="28"/>
      <c r="I716" s="28"/>
      <c r="X716" s="18"/>
      <c r="Y716" s="18"/>
      <c r="AG716" s="18"/>
      <c r="AH716" s="18"/>
      <c r="AI716" s="18"/>
    </row>
    <row r="717" spans="5:35" x14ac:dyDescent="0.25">
      <c r="E717" s="28"/>
      <c r="I717" s="28"/>
      <c r="X717" s="18"/>
      <c r="Y717" s="18"/>
      <c r="AG717" s="18"/>
      <c r="AH717" s="18"/>
      <c r="AI717" s="18"/>
    </row>
    <row r="718" spans="5:35" x14ac:dyDescent="0.25">
      <c r="E718" s="28"/>
      <c r="I718" s="28"/>
      <c r="X718" s="18"/>
      <c r="Y718" s="18"/>
      <c r="AG718" s="18"/>
      <c r="AH718" s="18"/>
      <c r="AI718" s="18"/>
    </row>
    <row r="719" spans="5:35" x14ac:dyDescent="0.25">
      <c r="E719" s="28"/>
      <c r="I719" s="28"/>
      <c r="X719" s="18"/>
      <c r="Y719" s="18"/>
      <c r="AG719" s="18"/>
      <c r="AH719" s="18"/>
      <c r="AI719" s="18"/>
    </row>
    <row r="720" spans="5:35" x14ac:dyDescent="0.25">
      <c r="E720" s="28"/>
      <c r="I720" s="28"/>
      <c r="X720" s="18"/>
      <c r="Y720" s="18"/>
      <c r="AG720" s="18"/>
      <c r="AH720" s="18"/>
      <c r="AI720" s="18"/>
    </row>
    <row r="721" spans="5:35" x14ac:dyDescent="0.25">
      <c r="E721" s="28"/>
      <c r="I721" s="28"/>
      <c r="X721" s="18"/>
      <c r="Y721" s="18"/>
      <c r="AG721" s="18"/>
      <c r="AH721" s="18"/>
      <c r="AI721" s="18"/>
    </row>
    <row r="722" spans="5:35" x14ac:dyDescent="0.25">
      <c r="E722" s="28"/>
      <c r="I722" s="28"/>
      <c r="X722" s="18"/>
      <c r="Y722" s="18"/>
      <c r="AG722" s="18"/>
      <c r="AH722" s="18"/>
      <c r="AI722" s="18"/>
    </row>
    <row r="723" spans="5:35" x14ac:dyDescent="0.25">
      <c r="E723" s="28"/>
      <c r="I723" s="28"/>
      <c r="X723" s="18"/>
      <c r="Y723" s="18"/>
      <c r="AG723" s="18"/>
      <c r="AH723" s="18"/>
      <c r="AI723" s="18"/>
    </row>
    <row r="724" spans="5:35" x14ac:dyDescent="0.25">
      <c r="E724" s="28"/>
      <c r="I724" s="28"/>
      <c r="X724" s="18"/>
      <c r="Y724" s="18"/>
      <c r="AG724" s="18"/>
      <c r="AH724" s="18"/>
      <c r="AI724" s="18"/>
    </row>
    <row r="725" spans="5:35" x14ac:dyDescent="0.25">
      <c r="E725" s="28"/>
      <c r="I725" s="28"/>
      <c r="X725" s="18"/>
      <c r="Y725" s="18"/>
      <c r="AG725" s="18"/>
      <c r="AH725" s="18"/>
      <c r="AI725" s="18"/>
    </row>
    <row r="726" spans="5:35" x14ac:dyDescent="0.25">
      <c r="E726" s="28"/>
      <c r="I726" s="28"/>
      <c r="X726" s="18"/>
      <c r="Y726" s="18"/>
      <c r="AG726" s="18"/>
      <c r="AH726" s="18"/>
      <c r="AI726" s="18"/>
    </row>
    <row r="727" spans="5:35" x14ac:dyDescent="0.25">
      <c r="E727" s="28"/>
      <c r="I727" s="28"/>
      <c r="X727" s="18"/>
      <c r="Y727" s="18"/>
      <c r="AG727" s="18"/>
      <c r="AH727" s="18"/>
      <c r="AI727" s="18"/>
    </row>
    <row r="728" spans="5:35" x14ac:dyDescent="0.25">
      <c r="E728" s="28"/>
      <c r="I728" s="28"/>
      <c r="X728" s="18"/>
      <c r="Y728" s="18"/>
      <c r="AG728" s="18"/>
      <c r="AH728" s="18"/>
      <c r="AI728" s="18"/>
    </row>
    <row r="729" spans="5:35" x14ac:dyDescent="0.25">
      <c r="E729" s="28"/>
      <c r="I729" s="28"/>
      <c r="X729" s="18"/>
      <c r="Y729" s="18"/>
      <c r="AG729" s="18"/>
      <c r="AH729" s="18"/>
      <c r="AI729" s="18"/>
    </row>
    <row r="730" spans="5:35" x14ac:dyDescent="0.25">
      <c r="E730" s="28"/>
      <c r="I730" s="28"/>
      <c r="X730" s="18"/>
      <c r="Y730" s="18"/>
      <c r="AG730" s="18"/>
      <c r="AH730" s="18"/>
      <c r="AI730" s="18"/>
    </row>
    <row r="731" spans="5:35" x14ac:dyDescent="0.25">
      <c r="E731" s="28"/>
      <c r="I731" s="28"/>
      <c r="X731" s="18"/>
      <c r="Y731" s="18"/>
      <c r="AG731" s="18"/>
      <c r="AH731" s="18"/>
      <c r="AI731" s="18"/>
    </row>
    <row r="732" spans="5:35" x14ac:dyDescent="0.25">
      <c r="E732" s="28"/>
      <c r="I732" s="28"/>
      <c r="X732" s="18"/>
      <c r="Y732" s="18"/>
      <c r="AG732" s="18"/>
      <c r="AH732" s="18"/>
      <c r="AI732" s="18"/>
    </row>
    <row r="733" spans="5:35" x14ac:dyDescent="0.25">
      <c r="E733" s="28"/>
      <c r="I733" s="28"/>
      <c r="X733" s="18"/>
      <c r="Y733" s="18"/>
      <c r="AG733" s="18"/>
      <c r="AH733" s="18"/>
      <c r="AI733" s="18"/>
    </row>
    <row r="734" spans="5:35" x14ac:dyDescent="0.25">
      <c r="E734" s="28"/>
      <c r="I734" s="28"/>
      <c r="X734" s="18"/>
      <c r="Y734" s="18"/>
      <c r="AG734" s="18"/>
      <c r="AH734" s="18"/>
      <c r="AI734" s="18"/>
    </row>
    <row r="735" spans="5:35" x14ac:dyDescent="0.25">
      <c r="E735" s="28"/>
      <c r="I735" s="28"/>
      <c r="X735" s="18"/>
      <c r="Y735" s="18"/>
      <c r="AG735" s="18"/>
      <c r="AH735" s="18"/>
      <c r="AI735" s="18"/>
    </row>
    <row r="736" spans="5:35" x14ac:dyDescent="0.25">
      <c r="E736" s="28"/>
      <c r="I736" s="28"/>
      <c r="X736" s="18"/>
      <c r="Y736" s="18"/>
      <c r="AG736" s="18"/>
      <c r="AH736" s="18"/>
      <c r="AI736" s="18"/>
    </row>
    <row r="737" spans="5:35" x14ac:dyDescent="0.25">
      <c r="E737" s="28"/>
      <c r="I737" s="28"/>
      <c r="X737" s="18"/>
      <c r="Y737" s="18"/>
      <c r="AG737" s="18"/>
      <c r="AH737" s="18"/>
      <c r="AI737" s="18"/>
    </row>
    <row r="738" spans="5:35" x14ac:dyDescent="0.25">
      <c r="E738" s="28"/>
      <c r="I738" s="28"/>
      <c r="X738" s="18"/>
      <c r="Y738" s="18"/>
      <c r="AG738" s="18"/>
      <c r="AH738" s="18"/>
      <c r="AI738" s="18"/>
    </row>
    <row r="739" spans="5:35" x14ac:dyDescent="0.25">
      <c r="E739" s="28"/>
      <c r="I739" s="28"/>
      <c r="X739" s="18"/>
      <c r="Y739" s="18"/>
      <c r="AG739" s="18"/>
      <c r="AH739" s="18"/>
      <c r="AI739" s="18"/>
    </row>
    <row r="740" spans="5:35" x14ac:dyDescent="0.25">
      <c r="E740" s="28"/>
      <c r="I740" s="28"/>
      <c r="X740" s="18"/>
      <c r="Y740" s="18"/>
      <c r="AG740" s="18"/>
      <c r="AH740" s="18"/>
      <c r="AI740" s="18"/>
    </row>
    <row r="741" spans="5:35" x14ac:dyDescent="0.25">
      <c r="E741" s="28"/>
      <c r="I741" s="28"/>
      <c r="X741" s="18"/>
      <c r="Y741" s="18"/>
      <c r="AG741" s="18"/>
      <c r="AH741" s="18"/>
      <c r="AI741" s="18"/>
    </row>
    <row r="742" spans="5:35" x14ac:dyDescent="0.25">
      <c r="E742" s="28"/>
      <c r="I742" s="28"/>
      <c r="X742" s="18"/>
      <c r="Y742" s="18"/>
      <c r="AG742" s="18"/>
      <c r="AH742" s="18"/>
      <c r="AI742" s="18"/>
    </row>
    <row r="743" spans="5:35" x14ac:dyDescent="0.25">
      <c r="E743" s="28"/>
      <c r="I743" s="28"/>
      <c r="X743" s="18"/>
      <c r="Y743" s="18"/>
      <c r="AG743" s="18"/>
      <c r="AH743" s="18"/>
      <c r="AI743" s="18"/>
    </row>
    <row r="744" spans="5:35" x14ac:dyDescent="0.25">
      <c r="E744" s="28"/>
      <c r="I744" s="28"/>
      <c r="X744" s="18"/>
      <c r="Y744" s="18"/>
      <c r="AG744" s="18"/>
      <c r="AH744" s="18"/>
      <c r="AI744" s="18"/>
    </row>
    <row r="745" spans="5:35" x14ac:dyDescent="0.25">
      <c r="E745" s="28"/>
      <c r="I745" s="28"/>
      <c r="X745" s="18"/>
      <c r="Y745" s="18"/>
      <c r="AG745" s="18"/>
      <c r="AH745" s="18"/>
      <c r="AI745" s="18"/>
    </row>
    <row r="746" spans="5:35" x14ac:dyDescent="0.25">
      <c r="E746" s="28"/>
      <c r="I746" s="28"/>
      <c r="X746" s="18"/>
      <c r="Y746" s="18"/>
      <c r="AG746" s="18"/>
      <c r="AH746" s="18"/>
      <c r="AI746" s="18"/>
    </row>
    <row r="747" spans="5:35" x14ac:dyDescent="0.25">
      <c r="E747" s="28"/>
      <c r="I747" s="28"/>
      <c r="X747" s="18"/>
      <c r="Y747" s="18"/>
      <c r="AG747" s="18"/>
      <c r="AH747" s="18"/>
      <c r="AI747" s="18"/>
    </row>
    <row r="748" spans="5:35" x14ac:dyDescent="0.25">
      <c r="E748" s="28"/>
      <c r="I748" s="28"/>
      <c r="X748" s="18"/>
      <c r="Y748" s="18"/>
      <c r="AG748" s="18"/>
      <c r="AH748" s="18"/>
      <c r="AI748" s="18"/>
    </row>
    <row r="749" spans="5:35" x14ac:dyDescent="0.25">
      <c r="E749" s="28"/>
      <c r="I749" s="28"/>
      <c r="X749" s="18"/>
      <c r="Y749" s="18"/>
      <c r="AG749" s="18"/>
      <c r="AH749" s="18"/>
      <c r="AI749" s="18"/>
    </row>
    <row r="750" spans="5:35" x14ac:dyDescent="0.25">
      <c r="E750" s="28"/>
      <c r="I750" s="28"/>
      <c r="X750" s="18"/>
      <c r="Y750" s="18"/>
      <c r="AG750" s="18"/>
      <c r="AH750" s="18"/>
      <c r="AI750" s="18"/>
    </row>
    <row r="751" spans="5:35" x14ac:dyDescent="0.25">
      <c r="E751" s="28"/>
      <c r="I751" s="28"/>
      <c r="X751" s="18"/>
      <c r="Y751" s="18"/>
      <c r="AG751" s="18"/>
      <c r="AH751" s="18"/>
      <c r="AI751" s="18"/>
    </row>
    <row r="752" spans="5:35" x14ac:dyDescent="0.25">
      <c r="E752" s="28"/>
      <c r="I752" s="28"/>
      <c r="X752" s="18"/>
      <c r="Y752" s="18"/>
      <c r="AG752" s="18"/>
      <c r="AH752" s="18"/>
      <c r="AI752" s="18"/>
    </row>
    <row r="753" spans="5:35" x14ac:dyDescent="0.25">
      <c r="E753" s="28"/>
      <c r="I753" s="28"/>
      <c r="X753" s="18"/>
      <c r="Y753" s="18"/>
      <c r="AG753" s="18"/>
      <c r="AH753" s="18"/>
      <c r="AI753" s="18"/>
    </row>
    <row r="754" spans="5:35" x14ac:dyDescent="0.25">
      <c r="E754" s="28"/>
      <c r="I754" s="28"/>
      <c r="X754" s="18"/>
      <c r="Y754" s="18"/>
      <c r="AG754" s="18"/>
      <c r="AH754" s="18"/>
      <c r="AI754" s="18"/>
    </row>
    <row r="755" spans="5:35" x14ac:dyDescent="0.25">
      <c r="E755" s="28"/>
      <c r="I755" s="28"/>
      <c r="X755" s="18"/>
      <c r="Y755" s="18"/>
      <c r="AG755" s="18"/>
      <c r="AH755" s="18"/>
      <c r="AI755" s="18"/>
    </row>
    <row r="756" spans="5:35" x14ac:dyDescent="0.25">
      <c r="E756" s="28"/>
      <c r="I756" s="28"/>
      <c r="X756" s="18"/>
      <c r="Y756" s="18"/>
      <c r="AG756" s="18"/>
      <c r="AH756" s="18"/>
      <c r="AI756" s="18"/>
    </row>
    <row r="757" spans="5:35" x14ac:dyDescent="0.25">
      <c r="E757" s="28"/>
      <c r="I757" s="28"/>
      <c r="X757" s="18"/>
      <c r="Y757" s="18"/>
      <c r="AG757" s="18"/>
      <c r="AH757" s="18"/>
      <c r="AI757" s="18"/>
    </row>
    <row r="758" spans="5:35" x14ac:dyDescent="0.25">
      <c r="E758" s="28"/>
      <c r="I758" s="28"/>
      <c r="X758" s="18"/>
      <c r="Y758" s="18"/>
      <c r="AG758" s="18"/>
      <c r="AH758" s="18"/>
      <c r="AI758" s="18"/>
    </row>
    <row r="759" spans="5:35" x14ac:dyDescent="0.25">
      <c r="E759" s="28"/>
      <c r="I759" s="28"/>
      <c r="X759" s="18"/>
      <c r="Y759" s="18"/>
      <c r="AG759" s="18"/>
      <c r="AH759" s="18"/>
      <c r="AI759" s="18"/>
    </row>
    <row r="760" spans="5:35" x14ac:dyDescent="0.25">
      <c r="E760" s="28"/>
      <c r="I760" s="28"/>
      <c r="X760" s="18"/>
      <c r="Y760" s="18"/>
      <c r="AG760" s="18"/>
      <c r="AH760" s="18"/>
      <c r="AI760" s="18"/>
    </row>
    <row r="761" spans="5:35" x14ac:dyDescent="0.25">
      <c r="E761" s="28"/>
      <c r="I761" s="28"/>
      <c r="X761" s="18"/>
      <c r="Y761" s="18"/>
      <c r="AG761" s="18"/>
      <c r="AH761" s="18"/>
      <c r="AI761" s="18"/>
    </row>
    <row r="762" spans="5:35" x14ac:dyDescent="0.25">
      <c r="E762" s="28"/>
      <c r="I762" s="28"/>
      <c r="X762" s="18"/>
      <c r="Y762" s="18"/>
      <c r="AG762" s="18"/>
      <c r="AH762" s="18"/>
      <c r="AI762" s="18"/>
    </row>
    <row r="763" spans="5:35" x14ac:dyDescent="0.25">
      <c r="E763" s="28"/>
      <c r="I763" s="28"/>
      <c r="X763" s="18"/>
      <c r="Y763" s="18"/>
      <c r="AG763" s="18"/>
      <c r="AH763" s="18"/>
      <c r="AI763" s="18"/>
    </row>
    <row r="764" spans="5:35" x14ac:dyDescent="0.25">
      <c r="E764" s="28"/>
      <c r="I764" s="28"/>
      <c r="X764" s="18"/>
      <c r="Y764" s="18"/>
      <c r="AG764" s="18"/>
      <c r="AH764" s="18"/>
      <c r="AI764" s="18"/>
    </row>
    <row r="765" spans="5:35" x14ac:dyDescent="0.25">
      <c r="E765" s="28"/>
      <c r="I765" s="28"/>
      <c r="X765" s="18"/>
      <c r="Y765" s="18"/>
      <c r="AG765" s="18"/>
      <c r="AH765" s="18"/>
      <c r="AI765" s="18"/>
    </row>
    <row r="766" spans="5:35" x14ac:dyDescent="0.25">
      <c r="E766" s="28"/>
      <c r="I766" s="28"/>
      <c r="X766" s="18"/>
      <c r="Y766" s="18"/>
      <c r="AG766" s="18"/>
      <c r="AH766" s="18"/>
      <c r="AI766" s="18"/>
    </row>
    <row r="767" spans="5:35" x14ac:dyDescent="0.25">
      <c r="E767" s="28"/>
      <c r="I767" s="28"/>
      <c r="X767" s="18"/>
      <c r="Y767" s="18"/>
      <c r="AG767" s="18"/>
      <c r="AH767" s="18"/>
      <c r="AI767" s="18"/>
    </row>
    <row r="768" spans="5:35" x14ac:dyDescent="0.25">
      <c r="E768" s="28"/>
      <c r="I768" s="28"/>
      <c r="X768" s="18"/>
      <c r="Y768" s="18"/>
      <c r="AG768" s="18"/>
      <c r="AH768" s="18"/>
      <c r="AI768" s="18"/>
    </row>
    <row r="769" spans="5:35" x14ac:dyDescent="0.25">
      <c r="E769" s="28"/>
      <c r="I769" s="28"/>
      <c r="X769" s="18"/>
      <c r="Y769" s="18"/>
      <c r="AG769" s="18"/>
      <c r="AH769" s="18"/>
      <c r="AI769" s="18"/>
    </row>
    <row r="770" spans="5:35" x14ac:dyDescent="0.25">
      <c r="E770" s="28"/>
      <c r="I770" s="28"/>
      <c r="X770" s="18"/>
      <c r="Y770" s="18"/>
      <c r="AG770" s="18"/>
      <c r="AH770" s="18"/>
      <c r="AI770" s="18"/>
    </row>
    <row r="771" spans="5:35" x14ac:dyDescent="0.25">
      <c r="E771" s="28"/>
      <c r="I771" s="28"/>
      <c r="X771" s="18"/>
      <c r="Y771" s="18"/>
      <c r="AG771" s="18"/>
      <c r="AH771" s="18"/>
      <c r="AI771" s="18"/>
    </row>
    <row r="772" spans="5:35" x14ac:dyDescent="0.25">
      <c r="E772" s="28"/>
      <c r="I772" s="28"/>
      <c r="X772" s="18"/>
      <c r="Y772" s="18"/>
      <c r="AG772" s="18"/>
      <c r="AH772" s="18"/>
      <c r="AI772" s="18"/>
    </row>
    <row r="773" spans="5:35" x14ac:dyDescent="0.25">
      <c r="E773" s="28"/>
      <c r="I773" s="28"/>
      <c r="X773" s="18"/>
      <c r="Y773" s="18"/>
      <c r="AG773" s="18"/>
      <c r="AH773" s="18"/>
      <c r="AI773" s="18"/>
    </row>
    <row r="774" spans="5:35" x14ac:dyDescent="0.25">
      <c r="E774" s="28"/>
      <c r="I774" s="28"/>
      <c r="X774" s="18"/>
      <c r="Y774" s="18"/>
      <c r="AG774" s="18"/>
      <c r="AH774" s="18"/>
      <c r="AI774" s="18"/>
    </row>
    <row r="775" spans="5:35" x14ac:dyDescent="0.25">
      <c r="E775" s="28"/>
      <c r="I775" s="28"/>
      <c r="X775" s="18"/>
      <c r="Y775" s="18"/>
      <c r="AG775" s="18"/>
      <c r="AH775" s="18"/>
      <c r="AI775" s="18"/>
    </row>
    <row r="776" spans="5:35" x14ac:dyDescent="0.25">
      <c r="E776" s="28"/>
      <c r="I776" s="28"/>
      <c r="X776" s="18"/>
      <c r="Y776" s="18"/>
      <c r="AG776" s="18"/>
      <c r="AH776" s="18"/>
      <c r="AI776" s="18"/>
    </row>
    <row r="777" spans="5:35" x14ac:dyDescent="0.25">
      <c r="E777" s="28"/>
      <c r="I777" s="28"/>
      <c r="X777" s="18"/>
      <c r="Y777" s="18"/>
      <c r="AG777" s="18"/>
      <c r="AH777" s="18"/>
      <c r="AI777" s="18"/>
    </row>
    <row r="778" spans="5:35" x14ac:dyDescent="0.25">
      <c r="E778" s="28"/>
      <c r="I778" s="28"/>
      <c r="X778" s="18"/>
      <c r="Y778" s="18"/>
      <c r="AG778" s="18"/>
      <c r="AH778" s="18"/>
      <c r="AI778" s="18"/>
    </row>
    <row r="779" spans="5:35" x14ac:dyDescent="0.25">
      <c r="E779" s="28"/>
      <c r="I779" s="28"/>
      <c r="X779" s="18"/>
      <c r="Y779" s="18"/>
      <c r="AG779" s="18"/>
      <c r="AH779" s="18"/>
      <c r="AI779" s="18"/>
    </row>
    <row r="780" spans="5:35" x14ac:dyDescent="0.25">
      <c r="E780" s="28"/>
      <c r="I780" s="28"/>
      <c r="X780" s="18"/>
      <c r="Y780" s="18"/>
      <c r="AG780" s="18"/>
      <c r="AH780" s="18"/>
      <c r="AI780" s="18"/>
    </row>
    <row r="781" spans="5:35" x14ac:dyDescent="0.25">
      <c r="E781" s="28"/>
      <c r="I781" s="28"/>
      <c r="X781" s="18"/>
      <c r="Y781" s="18"/>
      <c r="AG781" s="18"/>
      <c r="AH781" s="18"/>
      <c r="AI781" s="18"/>
    </row>
    <row r="782" spans="5:35" x14ac:dyDescent="0.25">
      <c r="E782" s="28"/>
      <c r="I782" s="28"/>
      <c r="X782" s="18"/>
      <c r="Y782" s="18"/>
      <c r="AG782" s="18"/>
      <c r="AH782" s="18"/>
      <c r="AI782" s="18"/>
    </row>
    <row r="783" spans="5:35" x14ac:dyDescent="0.25">
      <c r="E783" s="28"/>
      <c r="I783" s="28"/>
      <c r="X783" s="18"/>
      <c r="Y783" s="18"/>
      <c r="AG783" s="18"/>
      <c r="AH783" s="18"/>
      <c r="AI783" s="18"/>
    </row>
    <row r="784" spans="5:35" x14ac:dyDescent="0.25">
      <c r="E784" s="28"/>
      <c r="I784" s="28"/>
      <c r="X784" s="18"/>
      <c r="Y784" s="18"/>
      <c r="AG784" s="18"/>
      <c r="AH784" s="18"/>
      <c r="AI784" s="18"/>
    </row>
    <row r="785" spans="5:35" x14ac:dyDescent="0.25">
      <c r="E785" s="28"/>
      <c r="I785" s="28"/>
      <c r="X785" s="18"/>
      <c r="Y785" s="18"/>
      <c r="AG785" s="18"/>
      <c r="AH785" s="18"/>
      <c r="AI785" s="18"/>
    </row>
    <row r="786" spans="5:35" x14ac:dyDescent="0.25">
      <c r="E786" s="28"/>
      <c r="I786" s="28"/>
      <c r="X786" s="18"/>
      <c r="Y786" s="18"/>
      <c r="AG786" s="18"/>
      <c r="AH786" s="18"/>
      <c r="AI786" s="18"/>
    </row>
    <row r="787" spans="5:35" x14ac:dyDescent="0.25">
      <c r="E787" s="28"/>
      <c r="I787" s="28"/>
      <c r="X787" s="18"/>
      <c r="Y787" s="18"/>
      <c r="AG787" s="18"/>
      <c r="AH787" s="18"/>
      <c r="AI787" s="18"/>
    </row>
    <row r="788" spans="5:35" x14ac:dyDescent="0.25">
      <c r="E788" s="28"/>
      <c r="I788" s="28"/>
      <c r="X788" s="18"/>
      <c r="Y788" s="18"/>
      <c r="AG788" s="18"/>
      <c r="AH788" s="18"/>
      <c r="AI788" s="18"/>
    </row>
    <row r="789" spans="5:35" x14ac:dyDescent="0.25">
      <c r="E789" s="28"/>
      <c r="I789" s="28"/>
      <c r="X789" s="18"/>
      <c r="Y789" s="18"/>
      <c r="AG789" s="18"/>
      <c r="AH789" s="18"/>
      <c r="AI789" s="18"/>
    </row>
    <row r="790" spans="5:35" x14ac:dyDescent="0.25">
      <c r="E790" s="28"/>
      <c r="I790" s="28"/>
      <c r="X790" s="18"/>
      <c r="Y790" s="18"/>
      <c r="AG790" s="18"/>
      <c r="AH790" s="18"/>
      <c r="AI790" s="18"/>
    </row>
    <row r="791" spans="5:35" x14ac:dyDescent="0.25">
      <c r="E791" s="28"/>
      <c r="I791" s="28"/>
      <c r="X791" s="18"/>
      <c r="Y791" s="18"/>
      <c r="AG791" s="18"/>
      <c r="AH791" s="18"/>
      <c r="AI791" s="18"/>
    </row>
    <row r="792" spans="5:35" x14ac:dyDescent="0.25">
      <c r="E792" s="28"/>
      <c r="I792" s="28"/>
      <c r="X792" s="18"/>
      <c r="Y792" s="18"/>
      <c r="AG792" s="18"/>
      <c r="AH792" s="18"/>
      <c r="AI792" s="18"/>
    </row>
    <row r="793" spans="5:35" x14ac:dyDescent="0.25">
      <c r="E793" s="28"/>
      <c r="I793" s="28"/>
      <c r="X793" s="18"/>
      <c r="Y793" s="18"/>
      <c r="AG793" s="18"/>
      <c r="AH793" s="18"/>
      <c r="AI793" s="18"/>
    </row>
    <row r="794" spans="5:35" x14ac:dyDescent="0.25">
      <c r="E794" s="28"/>
      <c r="I794" s="28"/>
      <c r="X794" s="18"/>
      <c r="Y794" s="18"/>
      <c r="AG794" s="18"/>
      <c r="AH794" s="18"/>
      <c r="AI794" s="18"/>
    </row>
    <row r="795" spans="5:35" x14ac:dyDescent="0.25">
      <c r="E795" s="28"/>
      <c r="I795" s="28"/>
      <c r="X795" s="18"/>
      <c r="Y795" s="18"/>
      <c r="AG795" s="18"/>
      <c r="AH795" s="18"/>
      <c r="AI795" s="18"/>
    </row>
    <row r="796" spans="5:35" x14ac:dyDescent="0.25">
      <c r="E796" s="28"/>
      <c r="I796" s="28"/>
      <c r="X796" s="18"/>
      <c r="Y796" s="18"/>
      <c r="AG796" s="18"/>
      <c r="AH796" s="18"/>
      <c r="AI796" s="18"/>
    </row>
    <row r="797" spans="5:35" x14ac:dyDescent="0.25">
      <c r="E797" s="28"/>
      <c r="I797" s="28"/>
      <c r="X797" s="18"/>
      <c r="Y797" s="18"/>
      <c r="AG797" s="18"/>
      <c r="AH797" s="18"/>
      <c r="AI797" s="18"/>
    </row>
    <row r="798" spans="5:35" x14ac:dyDescent="0.25">
      <c r="E798" s="28"/>
      <c r="I798" s="28"/>
      <c r="X798" s="18"/>
      <c r="Y798" s="18"/>
      <c r="AG798" s="18"/>
      <c r="AH798" s="18"/>
      <c r="AI798" s="18"/>
    </row>
    <row r="799" spans="5:35" x14ac:dyDescent="0.25">
      <c r="E799" s="28"/>
      <c r="I799" s="28"/>
      <c r="X799" s="18"/>
      <c r="Y799" s="18"/>
      <c r="AG799" s="18"/>
      <c r="AH799" s="18"/>
      <c r="AI799" s="18"/>
    </row>
    <row r="800" spans="5:35" x14ac:dyDescent="0.25">
      <c r="E800" s="28"/>
      <c r="I800" s="28"/>
      <c r="X800" s="18"/>
      <c r="Y800" s="18"/>
      <c r="AG800" s="18"/>
      <c r="AH800" s="18"/>
      <c r="AI800" s="18"/>
    </row>
    <row r="801" spans="5:35" x14ac:dyDescent="0.25">
      <c r="E801" s="28"/>
      <c r="I801" s="28"/>
      <c r="X801" s="18"/>
      <c r="Y801" s="18"/>
      <c r="AG801" s="18"/>
      <c r="AH801" s="18"/>
      <c r="AI801" s="18"/>
    </row>
    <row r="802" spans="5:35" x14ac:dyDescent="0.25">
      <c r="E802" s="28"/>
      <c r="I802" s="28"/>
      <c r="X802" s="18"/>
      <c r="Y802" s="18"/>
      <c r="AG802" s="18"/>
      <c r="AH802" s="18"/>
      <c r="AI802" s="18"/>
    </row>
    <row r="803" spans="5:35" x14ac:dyDescent="0.25">
      <c r="E803" s="28"/>
      <c r="I803" s="28"/>
      <c r="X803" s="18"/>
      <c r="Y803" s="18"/>
      <c r="AG803" s="18"/>
      <c r="AH803" s="18"/>
      <c r="AI803" s="18"/>
    </row>
    <row r="804" spans="5:35" x14ac:dyDescent="0.25">
      <c r="E804" s="28"/>
      <c r="I804" s="28"/>
      <c r="X804" s="18"/>
      <c r="Y804" s="18"/>
      <c r="AG804" s="18"/>
      <c r="AH804" s="18"/>
      <c r="AI804" s="18"/>
    </row>
    <row r="805" spans="5:35" x14ac:dyDescent="0.25">
      <c r="E805" s="28"/>
      <c r="I805" s="28"/>
      <c r="X805" s="18"/>
      <c r="Y805" s="18"/>
      <c r="AG805" s="18"/>
      <c r="AH805" s="18"/>
      <c r="AI805" s="18"/>
    </row>
    <row r="806" spans="5:35" x14ac:dyDescent="0.25">
      <c r="E806" s="28"/>
      <c r="I806" s="28"/>
      <c r="X806" s="18"/>
      <c r="Y806" s="18"/>
      <c r="AG806" s="18"/>
      <c r="AH806" s="18"/>
      <c r="AI806" s="18"/>
    </row>
    <row r="807" spans="5:35" x14ac:dyDescent="0.25">
      <c r="E807" s="28"/>
      <c r="I807" s="28"/>
      <c r="X807" s="18"/>
      <c r="Y807" s="18"/>
      <c r="AG807" s="18"/>
      <c r="AH807" s="18"/>
      <c r="AI807" s="18"/>
    </row>
    <row r="808" spans="5:35" x14ac:dyDescent="0.25">
      <c r="E808" s="28"/>
      <c r="I808" s="28"/>
      <c r="X808" s="18"/>
      <c r="Y808" s="18"/>
      <c r="AG808" s="18"/>
      <c r="AH808" s="18"/>
      <c r="AI808" s="18"/>
    </row>
    <row r="809" spans="5:35" x14ac:dyDescent="0.25">
      <c r="E809" s="28"/>
      <c r="I809" s="28"/>
      <c r="X809" s="18"/>
      <c r="Y809" s="18"/>
      <c r="AG809" s="18"/>
      <c r="AH809" s="18"/>
      <c r="AI809" s="18"/>
    </row>
    <row r="810" spans="5:35" x14ac:dyDescent="0.25">
      <c r="E810" s="28"/>
      <c r="I810" s="28"/>
      <c r="X810" s="18"/>
      <c r="Y810" s="18"/>
      <c r="AG810" s="18"/>
      <c r="AH810" s="18"/>
      <c r="AI810" s="18"/>
    </row>
    <row r="811" spans="5:35" x14ac:dyDescent="0.25">
      <c r="E811" s="28"/>
      <c r="I811" s="28"/>
      <c r="X811" s="18"/>
      <c r="Y811" s="18"/>
      <c r="AG811" s="18"/>
      <c r="AH811" s="18"/>
      <c r="AI811" s="18"/>
    </row>
    <row r="812" spans="5:35" x14ac:dyDescent="0.25">
      <c r="E812" s="28"/>
      <c r="I812" s="28"/>
      <c r="X812" s="18"/>
      <c r="Y812" s="18"/>
      <c r="AG812" s="18"/>
      <c r="AH812" s="18"/>
      <c r="AI812" s="18"/>
    </row>
    <row r="813" spans="5:35" x14ac:dyDescent="0.25">
      <c r="E813" s="28"/>
      <c r="I813" s="28"/>
      <c r="X813" s="18"/>
      <c r="Y813" s="18"/>
      <c r="AG813" s="18"/>
      <c r="AH813" s="18"/>
      <c r="AI813" s="18"/>
    </row>
    <row r="814" spans="5:35" x14ac:dyDescent="0.25">
      <c r="E814" s="28"/>
      <c r="I814" s="28"/>
      <c r="X814" s="18"/>
      <c r="Y814" s="18"/>
      <c r="AG814" s="18"/>
      <c r="AH814" s="18"/>
      <c r="AI814" s="18"/>
    </row>
    <row r="815" spans="5:35" x14ac:dyDescent="0.25">
      <c r="E815" s="28"/>
      <c r="I815" s="28"/>
      <c r="X815" s="18"/>
      <c r="Y815" s="18"/>
      <c r="AG815" s="18"/>
      <c r="AH815" s="18"/>
      <c r="AI815" s="18"/>
    </row>
    <row r="816" spans="5:35" x14ac:dyDescent="0.25">
      <c r="E816" s="28"/>
      <c r="I816" s="28"/>
      <c r="X816" s="18"/>
      <c r="Y816" s="18"/>
      <c r="AG816" s="18"/>
      <c r="AH816" s="18"/>
      <c r="AI816" s="18"/>
    </row>
    <row r="817" spans="5:35" x14ac:dyDescent="0.25">
      <c r="E817" s="28"/>
      <c r="I817" s="28"/>
      <c r="X817" s="18"/>
      <c r="Y817" s="18"/>
      <c r="AG817" s="18"/>
      <c r="AH817" s="18"/>
      <c r="AI817" s="18"/>
    </row>
    <row r="818" spans="5:35" x14ac:dyDescent="0.25">
      <c r="E818" s="28"/>
      <c r="I818" s="28"/>
      <c r="X818" s="18"/>
      <c r="Y818" s="18"/>
      <c r="AG818" s="18"/>
      <c r="AH818" s="18"/>
      <c r="AI818" s="18"/>
    </row>
    <row r="819" spans="5:35" x14ac:dyDescent="0.25">
      <c r="E819" s="28"/>
      <c r="I819" s="28"/>
      <c r="X819" s="18"/>
      <c r="Y819" s="18"/>
      <c r="AG819" s="18"/>
      <c r="AH819" s="18"/>
      <c r="AI819" s="18"/>
    </row>
    <row r="820" spans="5:35" x14ac:dyDescent="0.25">
      <c r="E820" s="28"/>
      <c r="I820" s="28"/>
      <c r="X820" s="18"/>
      <c r="Y820" s="18"/>
      <c r="AG820" s="18"/>
      <c r="AH820" s="18"/>
      <c r="AI820" s="18"/>
    </row>
    <row r="821" spans="5:35" x14ac:dyDescent="0.25">
      <c r="E821" s="28"/>
      <c r="I821" s="28"/>
      <c r="X821" s="18"/>
      <c r="Y821" s="18"/>
      <c r="AG821" s="18"/>
      <c r="AH821" s="18"/>
      <c r="AI821" s="18"/>
    </row>
    <row r="822" spans="5:35" x14ac:dyDescent="0.25">
      <c r="E822" s="28"/>
      <c r="I822" s="28"/>
      <c r="X822" s="18"/>
      <c r="Y822" s="18"/>
      <c r="AG822" s="18"/>
      <c r="AH822" s="18"/>
      <c r="AI822" s="18"/>
    </row>
    <row r="823" spans="5:35" x14ac:dyDescent="0.25">
      <c r="E823" s="28"/>
      <c r="I823" s="28"/>
      <c r="X823" s="18"/>
      <c r="Y823" s="18"/>
      <c r="AG823" s="18"/>
      <c r="AH823" s="18"/>
      <c r="AI823" s="18"/>
    </row>
    <row r="824" spans="5:35" x14ac:dyDescent="0.25">
      <c r="E824" s="28"/>
      <c r="I824" s="28"/>
      <c r="X824" s="18"/>
      <c r="Y824" s="18"/>
      <c r="AG824" s="18"/>
      <c r="AH824" s="18"/>
      <c r="AI824" s="18"/>
    </row>
    <row r="825" spans="5:35" x14ac:dyDescent="0.25">
      <c r="E825" s="28"/>
      <c r="I825" s="28"/>
      <c r="X825" s="18"/>
      <c r="Y825" s="18"/>
      <c r="AG825" s="18"/>
      <c r="AH825" s="18"/>
      <c r="AI825" s="18"/>
    </row>
    <row r="826" spans="5:35" x14ac:dyDescent="0.25">
      <c r="E826" s="28"/>
      <c r="I826" s="28"/>
      <c r="X826" s="18"/>
      <c r="Y826" s="18"/>
      <c r="AG826" s="18"/>
      <c r="AH826" s="18"/>
      <c r="AI826" s="18"/>
    </row>
    <row r="827" spans="5:35" x14ac:dyDescent="0.25">
      <c r="E827" s="28"/>
      <c r="I827" s="28"/>
      <c r="X827" s="18"/>
      <c r="Y827" s="18"/>
      <c r="AG827" s="18"/>
      <c r="AH827" s="18"/>
      <c r="AI827" s="18"/>
    </row>
    <row r="828" spans="5:35" x14ac:dyDescent="0.25">
      <c r="E828" s="28"/>
      <c r="I828" s="28"/>
      <c r="X828" s="18"/>
      <c r="Y828" s="18"/>
      <c r="AG828" s="18"/>
      <c r="AH828" s="18"/>
      <c r="AI828" s="18"/>
    </row>
    <row r="829" spans="5:35" x14ac:dyDescent="0.25">
      <c r="E829" s="28"/>
      <c r="I829" s="28"/>
      <c r="X829" s="18"/>
      <c r="Y829" s="18"/>
      <c r="AG829" s="18"/>
      <c r="AH829" s="18"/>
      <c r="AI829" s="18"/>
    </row>
    <row r="830" spans="5:35" x14ac:dyDescent="0.25">
      <c r="E830" s="28"/>
      <c r="I830" s="28"/>
      <c r="X830" s="18"/>
      <c r="Y830" s="18"/>
      <c r="AG830" s="18"/>
      <c r="AH830" s="18"/>
      <c r="AI830" s="18"/>
    </row>
    <row r="831" spans="5:35" x14ac:dyDescent="0.25">
      <c r="E831" s="28"/>
      <c r="I831" s="28"/>
      <c r="X831" s="18"/>
      <c r="Y831" s="18"/>
      <c r="AG831" s="18"/>
      <c r="AH831" s="18"/>
      <c r="AI831" s="18"/>
    </row>
    <row r="832" spans="5:35" x14ac:dyDescent="0.25">
      <c r="E832" s="28"/>
      <c r="I832" s="28"/>
      <c r="X832" s="18"/>
      <c r="Y832" s="18"/>
      <c r="AG832" s="18"/>
      <c r="AH832" s="18"/>
      <c r="AI832" s="18"/>
    </row>
    <row r="833" spans="5:35" x14ac:dyDescent="0.25">
      <c r="E833" s="28"/>
      <c r="I833" s="28"/>
      <c r="X833" s="18"/>
      <c r="Y833" s="18"/>
      <c r="AG833" s="18"/>
      <c r="AH833" s="18"/>
      <c r="AI833" s="18"/>
    </row>
    <row r="834" spans="5:35" x14ac:dyDescent="0.25">
      <c r="E834" s="28"/>
      <c r="I834" s="28"/>
      <c r="X834" s="18"/>
      <c r="Y834" s="18"/>
      <c r="AG834" s="18"/>
      <c r="AH834" s="18"/>
      <c r="AI834" s="18"/>
    </row>
    <row r="835" spans="5:35" x14ac:dyDescent="0.25">
      <c r="E835" s="28"/>
      <c r="I835" s="28"/>
      <c r="X835" s="18"/>
      <c r="Y835" s="18"/>
      <c r="AG835" s="18"/>
      <c r="AH835" s="18"/>
      <c r="AI835" s="18"/>
    </row>
    <row r="836" spans="5:35" x14ac:dyDescent="0.25">
      <c r="E836" s="28"/>
      <c r="I836" s="28"/>
      <c r="X836" s="18"/>
      <c r="Y836" s="18"/>
      <c r="AG836" s="18"/>
      <c r="AH836" s="18"/>
      <c r="AI836" s="18"/>
    </row>
    <row r="837" spans="5:35" x14ac:dyDescent="0.25">
      <c r="E837" s="28"/>
      <c r="I837" s="28"/>
      <c r="X837" s="18"/>
      <c r="Y837" s="18"/>
      <c r="AG837" s="18"/>
      <c r="AH837" s="18"/>
      <c r="AI837" s="18"/>
    </row>
    <row r="838" spans="5:35" x14ac:dyDescent="0.25">
      <c r="E838" s="28"/>
      <c r="I838" s="28"/>
      <c r="X838" s="18"/>
      <c r="Y838" s="18"/>
      <c r="AG838" s="18"/>
      <c r="AH838" s="18"/>
      <c r="AI838" s="18"/>
    </row>
    <row r="839" spans="5:35" x14ac:dyDescent="0.25">
      <c r="E839" s="28"/>
      <c r="I839" s="28"/>
      <c r="X839" s="18"/>
      <c r="Y839" s="18"/>
      <c r="AG839" s="18"/>
      <c r="AH839" s="18"/>
      <c r="AI839" s="18"/>
    </row>
    <row r="840" spans="5:35" x14ac:dyDescent="0.25">
      <c r="E840" s="28"/>
      <c r="I840" s="28"/>
      <c r="X840" s="18"/>
      <c r="Y840" s="18"/>
      <c r="AG840" s="18"/>
      <c r="AH840" s="18"/>
      <c r="AI840" s="18"/>
    </row>
    <row r="841" spans="5:35" x14ac:dyDescent="0.25">
      <c r="E841" s="28"/>
      <c r="I841" s="28"/>
      <c r="X841" s="18"/>
      <c r="Y841" s="18"/>
      <c r="AG841" s="18"/>
      <c r="AH841" s="18"/>
      <c r="AI841" s="18"/>
    </row>
    <row r="842" spans="5:35" x14ac:dyDescent="0.25">
      <c r="E842" s="28"/>
      <c r="I842" s="28"/>
      <c r="X842" s="18"/>
      <c r="Y842" s="18"/>
      <c r="AG842" s="18"/>
      <c r="AH842" s="18"/>
      <c r="AI842" s="18"/>
    </row>
    <row r="843" spans="5:35" x14ac:dyDescent="0.25">
      <c r="E843" s="28"/>
      <c r="I843" s="28"/>
      <c r="X843" s="18"/>
      <c r="Y843" s="18"/>
      <c r="AG843" s="18"/>
      <c r="AH843" s="18"/>
      <c r="AI843" s="18"/>
    </row>
    <row r="844" spans="5:35" x14ac:dyDescent="0.25">
      <c r="E844" s="28"/>
      <c r="I844" s="28"/>
      <c r="X844" s="18"/>
      <c r="Y844" s="18"/>
      <c r="AG844" s="18"/>
      <c r="AH844" s="18"/>
      <c r="AI844" s="18"/>
    </row>
    <row r="845" spans="5:35" x14ac:dyDescent="0.25">
      <c r="E845" s="28"/>
      <c r="I845" s="28"/>
      <c r="X845" s="18"/>
      <c r="Y845" s="18"/>
      <c r="AG845" s="18"/>
      <c r="AH845" s="18"/>
      <c r="AI845" s="18"/>
    </row>
    <row r="846" spans="5:35" x14ac:dyDescent="0.25">
      <c r="E846" s="28"/>
      <c r="I846" s="28"/>
      <c r="X846" s="18"/>
      <c r="Y846" s="18"/>
      <c r="AG846" s="18"/>
      <c r="AH846" s="18"/>
      <c r="AI846" s="18"/>
    </row>
    <row r="847" spans="5:35" x14ac:dyDescent="0.25">
      <c r="E847" s="28"/>
      <c r="I847" s="28"/>
      <c r="X847" s="18"/>
      <c r="Y847" s="18"/>
      <c r="AG847" s="18"/>
      <c r="AH847" s="18"/>
      <c r="AI847" s="18"/>
    </row>
    <row r="848" spans="5:35" x14ac:dyDescent="0.25">
      <c r="E848" s="28"/>
      <c r="I848" s="28"/>
      <c r="X848" s="18"/>
      <c r="Y848" s="18"/>
      <c r="AG848" s="18"/>
      <c r="AH848" s="18"/>
      <c r="AI848" s="18"/>
    </row>
    <row r="849" spans="5:35" x14ac:dyDescent="0.25">
      <c r="E849" s="28"/>
      <c r="I849" s="28"/>
      <c r="X849" s="18"/>
      <c r="Y849" s="18"/>
      <c r="AG849" s="18"/>
      <c r="AH849" s="18"/>
      <c r="AI849" s="18"/>
    </row>
    <row r="850" spans="5:35" x14ac:dyDescent="0.25">
      <c r="E850" s="28"/>
      <c r="I850" s="28"/>
      <c r="X850" s="18"/>
      <c r="Y850" s="18"/>
      <c r="AG850" s="18"/>
      <c r="AH850" s="18"/>
      <c r="AI850" s="18"/>
    </row>
    <row r="851" spans="5:35" x14ac:dyDescent="0.25">
      <c r="E851" s="28"/>
      <c r="I851" s="28"/>
      <c r="X851" s="18"/>
      <c r="Y851" s="18"/>
      <c r="AG851" s="18"/>
      <c r="AH851" s="18"/>
      <c r="AI851" s="18"/>
    </row>
    <row r="852" spans="5:35" x14ac:dyDescent="0.25">
      <c r="E852" s="28"/>
      <c r="I852" s="28"/>
      <c r="X852" s="18"/>
      <c r="Y852" s="18"/>
      <c r="AG852" s="18"/>
      <c r="AH852" s="18"/>
      <c r="AI852" s="18"/>
    </row>
    <row r="853" spans="5:35" x14ac:dyDescent="0.25">
      <c r="E853" s="28"/>
      <c r="I853" s="28"/>
      <c r="X853" s="18"/>
      <c r="Y853" s="18"/>
      <c r="AG853" s="18"/>
      <c r="AH853" s="18"/>
      <c r="AI853" s="18"/>
    </row>
    <row r="854" spans="5:35" x14ac:dyDescent="0.25">
      <c r="E854" s="28"/>
      <c r="I854" s="28"/>
      <c r="X854" s="18"/>
      <c r="Y854" s="18"/>
      <c r="AG854" s="18"/>
      <c r="AH854" s="18"/>
      <c r="AI854" s="18"/>
    </row>
    <row r="855" spans="5:35" x14ac:dyDescent="0.25">
      <c r="E855" s="28"/>
      <c r="I855" s="28"/>
      <c r="X855" s="18"/>
      <c r="Y855" s="18"/>
      <c r="AG855" s="18"/>
      <c r="AH855" s="18"/>
      <c r="AI855" s="18"/>
    </row>
    <row r="856" spans="5:35" x14ac:dyDescent="0.25">
      <c r="E856" s="28"/>
      <c r="I856" s="28"/>
      <c r="X856" s="18"/>
      <c r="Y856" s="18"/>
      <c r="AG856" s="18"/>
      <c r="AH856" s="18"/>
      <c r="AI856" s="18"/>
    </row>
    <row r="857" spans="5:35" x14ac:dyDescent="0.25">
      <c r="E857" s="28"/>
      <c r="I857" s="28"/>
      <c r="X857" s="18"/>
      <c r="Y857" s="18"/>
      <c r="AG857" s="18"/>
      <c r="AH857" s="18"/>
      <c r="AI857" s="18"/>
    </row>
    <row r="858" spans="5:35" x14ac:dyDescent="0.25">
      <c r="E858" s="28"/>
      <c r="I858" s="28"/>
      <c r="X858" s="18"/>
      <c r="Y858" s="18"/>
      <c r="AG858" s="18"/>
      <c r="AH858" s="18"/>
      <c r="AI858" s="18"/>
    </row>
    <row r="859" spans="5:35" x14ac:dyDescent="0.25">
      <c r="E859" s="28"/>
      <c r="I859" s="28"/>
      <c r="X859" s="18"/>
      <c r="Y859" s="18"/>
      <c r="AG859" s="18"/>
      <c r="AH859" s="18"/>
      <c r="AI859" s="18"/>
    </row>
    <row r="860" spans="5:35" x14ac:dyDescent="0.25">
      <c r="E860" s="28"/>
      <c r="I860" s="28"/>
      <c r="X860" s="18"/>
      <c r="Y860" s="18"/>
      <c r="AG860" s="18"/>
      <c r="AH860" s="18"/>
      <c r="AI860" s="18"/>
    </row>
    <row r="861" spans="5:35" x14ac:dyDescent="0.25">
      <c r="E861" s="28"/>
      <c r="I861" s="28"/>
      <c r="X861" s="18"/>
      <c r="Y861" s="18"/>
      <c r="AG861" s="18"/>
      <c r="AH861" s="18"/>
      <c r="AI861" s="18"/>
    </row>
    <row r="862" spans="5:35" x14ac:dyDescent="0.25">
      <c r="E862" s="28"/>
      <c r="I862" s="28"/>
      <c r="X862" s="18"/>
      <c r="Y862" s="18"/>
      <c r="AG862" s="18"/>
      <c r="AH862" s="18"/>
      <c r="AI862" s="18"/>
    </row>
    <row r="863" spans="5:35" x14ac:dyDescent="0.25">
      <c r="E863" s="28"/>
      <c r="I863" s="28"/>
      <c r="X863" s="18"/>
      <c r="Y863" s="18"/>
      <c r="AG863" s="18"/>
      <c r="AH863" s="18"/>
      <c r="AI863" s="18"/>
    </row>
    <row r="864" spans="5:35" x14ac:dyDescent="0.25">
      <c r="E864" s="28"/>
      <c r="I864" s="28"/>
      <c r="X864" s="18"/>
      <c r="Y864" s="18"/>
      <c r="AG864" s="18"/>
      <c r="AH864" s="18"/>
      <c r="AI864" s="18"/>
    </row>
    <row r="865" spans="5:35" x14ac:dyDescent="0.25">
      <c r="E865" s="28"/>
      <c r="I865" s="28"/>
      <c r="X865" s="18"/>
      <c r="Y865" s="18"/>
      <c r="AG865" s="18"/>
      <c r="AH865" s="18"/>
      <c r="AI865" s="18"/>
    </row>
    <row r="866" spans="5:35" x14ac:dyDescent="0.25">
      <c r="E866" s="28"/>
      <c r="I866" s="28"/>
      <c r="X866" s="18"/>
      <c r="Y866" s="18"/>
      <c r="AG866" s="18"/>
      <c r="AH866" s="18"/>
      <c r="AI866" s="18"/>
    </row>
    <row r="867" spans="5:35" x14ac:dyDescent="0.25">
      <c r="E867" s="28"/>
      <c r="I867" s="28"/>
      <c r="X867" s="18"/>
      <c r="Y867" s="18"/>
      <c r="AG867" s="18"/>
      <c r="AH867" s="18"/>
      <c r="AI867" s="18"/>
    </row>
    <row r="868" spans="5:35" x14ac:dyDescent="0.25">
      <c r="E868" s="28"/>
      <c r="I868" s="28"/>
      <c r="X868" s="18"/>
      <c r="Y868" s="18"/>
      <c r="AG868" s="18"/>
      <c r="AH868" s="18"/>
      <c r="AI868" s="18"/>
    </row>
    <row r="869" spans="5:35" x14ac:dyDescent="0.25">
      <c r="E869" s="28"/>
      <c r="I869" s="28"/>
      <c r="X869" s="18"/>
      <c r="Y869" s="18"/>
      <c r="AG869" s="18"/>
      <c r="AH869" s="18"/>
      <c r="AI869" s="18"/>
    </row>
    <row r="870" spans="5:35" x14ac:dyDescent="0.25">
      <c r="E870" s="28"/>
      <c r="I870" s="28"/>
      <c r="X870" s="18"/>
      <c r="Y870" s="18"/>
      <c r="AG870" s="18"/>
      <c r="AH870" s="18"/>
      <c r="AI870" s="18"/>
    </row>
    <row r="871" spans="5:35" x14ac:dyDescent="0.25">
      <c r="E871" s="28"/>
      <c r="I871" s="28"/>
      <c r="X871" s="18"/>
      <c r="Y871" s="18"/>
      <c r="AG871" s="18"/>
      <c r="AH871" s="18"/>
      <c r="AI871" s="18"/>
    </row>
    <row r="872" spans="5:35" x14ac:dyDescent="0.25">
      <c r="E872" s="28"/>
      <c r="I872" s="28"/>
      <c r="X872" s="18"/>
      <c r="Y872" s="18"/>
      <c r="AG872" s="18"/>
      <c r="AH872" s="18"/>
      <c r="AI872" s="18"/>
    </row>
    <row r="873" spans="5:35" x14ac:dyDescent="0.25">
      <c r="E873" s="28"/>
      <c r="I873" s="28"/>
      <c r="X873" s="18"/>
      <c r="Y873" s="18"/>
      <c r="AG873" s="18"/>
      <c r="AH873" s="18"/>
      <c r="AI873" s="18"/>
    </row>
    <row r="874" spans="5:35" x14ac:dyDescent="0.25">
      <c r="E874" s="28"/>
      <c r="I874" s="28"/>
      <c r="X874" s="18"/>
      <c r="Y874" s="18"/>
      <c r="AG874" s="18"/>
      <c r="AH874" s="18"/>
      <c r="AI874" s="18"/>
    </row>
    <row r="875" spans="5:35" x14ac:dyDescent="0.25">
      <c r="E875" s="28"/>
      <c r="I875" s="28"/>
      <c r="X875" s="18"/>
      <c r="Y875" s="18"/>
      <c r="AG875" s="18"/>
      <c r="AH875" s="18"/>
      <c r="AI875" s="18"/>
    </row>
    <row r="876" spans="5:35" x14ac:dyDescent="0.25">
      <c r="E876" s="28"/>
      <c r="I876" s="28"/>
      <c r="X876" s="18"/>
      <c r="Y876" s="18"/>
      <c r="AG876" s="18"/>
      <c r="AH876" s="18"/>
      <c r="AI876" s="18"/>
    </row>
    <row r="877" spans="5:35" x14ac:dyDescent="0.25">
      <c r="E877" s="28"/>
      <c r="I877" s="28"/>
      <c r="X877" s="18"/>
      <c r="Y877" s="18"/>
      <c r="AG877" s="18"/>
      <c r="AH877" s="18"/>
      <c r="AI877" s="18"/>
    </row>
    <row r="878" spans="5:35" x14ac:dyDescent="0.25">
      <c r="E878" s="28"/>
      <c r="I878" s="28"/>
      <c r="X878" s="18"/>
      <c r="Y878" s="18"/>
      <c r="AG878" s="18"/>
      <c r="AH878" s="18"/>
      <c r="AI878" s="18"/>
    </row>
    <row r="879" spans="5:35" x14ac:dyDescent="0.25">
      <c r="E879" s="28"/>
      <c r="I879" s="28"/>
      <c r="X879" s="18"/>
      <c r="Y879" s="18"/>
      <c r="AG879" s="18"/>
      <c r="AH879" s="18"/>
      <c r="AI879" s="18"/>
    </row>
    <row r="880" spans="5:35" x14ac:dyDescent="0.25">
      <c r="E880" s="28"/>
      <c r="I880" s="28"/>
      <c r="X880" s="18"/>
      <c r="Y880" s="18"/>
      <c r="AG880" s="18"/>
      <c r="AH880" s="18"/>
      <c r="AI880" s="18"/>
    </row>
    <row r="881" spans="5:35" x14ac:dyDescent="0.25">
      <c r="E881" s="28"/>
      <c r="I881" s="28"/>
      <c r="X881" s="18"/>
      <c r="Y881" s="18"/>
      <c r="AG881" s="18"/>
      <c r="AH881" s="18"/>
      <c r="AI881" s="18"/>
    </row>
    <row r="882" spans="5:35" x14ac:dyDescent="0.25">
      <c r="E882" s="28"/>
      <c r="I882" s="28"/>
      <c r="X882" s="18"/>
      <c r="Y882" s="18"/>
      <c r="AG882" s="18"/>
      <c r="AH882" s="18"/>
      <c r="AI882" s="18"/>
    </row>
    <row r="883" spans="5:35" x14ac:dyDescent="0.25">
      <c r="E883" s="28"/>
      <c r="I883" s="28"/>
      <c r="X883" s="18"/>
      <c r="Y883" s="18"/>
      <c r="AG883" s="18"/>
      <c r="AH883" s="18"/>
      <c r="AI883" s="18"/>
    </row>
    <row r="884" spans="5:35" x14ac:dyDescent="0.25">
      <c r="E884" s="28"/>
      <c r="I884" s="28"/>
      <c r="X884" s="18"/>
      <c r="Y884" s="18"/>
      <c r="AG884" s="18"/>
      <c r="AH884" s="18"/>
      <c r="AI884" s="18"/>
    </row>
    <row r="885" spans="5:35" x14ac:dyDescent="0.25">
      <c r="E885" s="28"/>
      <c r="I885" s="28"/>
      <c r="X885" s="18"/>
      <c r="Y885" s="18"/>
      <c r="AG885" s="18"/>
      <c r="AH885" s="18"/>
      <c r="AI885" s="18"/>
    </row>
    <row r="886" spans="5:35" x14ac:dyDescent="0.25">
      <c r="E886" s="28"/>
      <c r="I886" s="28"/>
      <c r="X886" s="18"/>
      <c r="Y886" s="18"/>
      <c r="AG886" s="18"/>
      <c r="AH886" s="18"/>
      <c r="AI886" s="18"/>
    </row>
    <row r="887" spans="5:35" x14ac:dyDescent="0.25">
      <c r="E887" s="28"/>
      <c r="I887" s="28"/>
      <c r="X887" s="18"/>
      <c r="Y887" s="18"/>
      <c r="AG887" s="18"/>
      <c r="AH887" s="18"/>
      <c r="AI887" s="18"/>
    </row>
    <row r="888" spans="5:35" x14ac:dyDescent="0.25">
      <c r="E888" s="28"/>
      <c r="I888" s="28"/>
      <c r="X888" s="18"/>
      <c r="Y888" s="18"/>
      <c r="AG888" s="18"/>
      <c r="AH888" s="18"/>
      <c r="AI888" s="18"/>
    </row>
    <row r="889" spans="5:35" x14ac:dyDescent="0.25">
      <c r="E889" s="28"/>
      <c r="I889" s="28"/>
      <c r="X889" s="18"/>
      <c r="Y889" s="18"/>
      <c r="AG889" s="18"/>
      <c r="AH889" s="18"/>
      <c r="AI889" s="18"/>
    </row>
    <row r="890" spans="5:35" x14ac:dyDescent="0.25">
      <c r="E890" s="28"/>
      <c r="I890" s="28"/>
      <c r="X890" s="18"/>
      <c r="Y890" s="18"/>
      <c r="AG890" s="18"/>
      <c r="AH890" s="18"/>
      <c r="AI890" s="18"/>
    </row>
    <row r="891" spans="5:35" x14ac:dyDescent="0.25">
      <c r="E891" s="28"/>
      <c r="I891" s="28"/>
      <c r="X891" s="18"/>
      <c r="Y891" s="18"/>
      <c r="AG891" s="18"/>
      <c r="AH891" s="18"/>
      <c r="AI891" s="18"/>
    </row>
    <row r="892" spans="5:35" x14ac:dyDescent="0.25">
      <c r="E892" s="28"/>
      <c r="I892" s="28"/>
      <c r="X892" s="18"/>
      <c r="Y892" s="18"/>
      <c r="AG892" s="18"/>
      <c r="AH892" s="18"/>
      <c r="AI892" s="18"/>
    </row>
    <row r="893" spans="5:35" x14ac:dyDescent="0.25">
      <c r="E893" s="28"/>
      <c r="I893" s="28"/>
      <c r="X893" s="18"/>
      <c r="Y893" s="18"/>
      <c r="AG893" s="18"/>
      <c r="AH893" s="18"/>
      <c r="AI893" s="18"/>
    </row>
    <row r="894" spans="5:35" x14ac:dyDescent="0.25">
      <c r="E894" s="28"/>
      <c r="I894" s="28"/>
      <c r="X894" s="18"/>
      <c r="Y894" s="18"/>
      <c r="AG894" s="18"/>
      <c r="AH894" s="18"/>
      <c r="AI894" s="18"/>
    </row>
    <row r="895" spans="5:35" x14ac:dyDescent="0.25">
      <c r="E895" s="28"/>
      <c r="I895" s="28"/>
      <c r="X895" s="18"/>
      <c r="Y895" s="18"/>
      <c r="AG895" s="18"/>
      <c r="AH895" s="18"/>
      <c r="AI895" s="18"/>
    </row>
    <row r="896" spans="5:35" x14ac:dyDescent="0.25">
      <c r="E896" s="28"/>
      <c r="I896" s="28"/>
      <c r="X896" s="18"/>
      <c r="Y896" s="18"/>
      <c r="AG896" s="18"/>
      <c r="AH896" s="18"/>
      <c r="AI896" s="18"/>
    </row>
    <row r="897" spans="5:35" x14ac:dyDescent="0.25">
      <c r="E897" s="28"/>
      <c r="I897" s="28"/>
      <c r="X897" s="18"/>
      <c r="Y897" s="18"/>
      <c r="AG897" s="18"/>
      <c r="AH897" s="18"/>
      <c r="AI897" s="18"/>
    </row>
    <row r="898" spans="5:35" x14ac:dyDescent="0.25">
      <c r="E898" s="28"/>
      <c r="I898" s="28"/>
      <c r="X898" s="18"/>
      <c r="Y898" s="18"/>
      <c r="AG898" s="18"/>
      <c r="AH898" s="18"/>
      <c r="AI898" s="18"/>
    </row>
    <row r="899" spans="5:35" x14ac:dyDescent="0.25">
      <c r="E899" s="28"/>
      <c r="I899" s="28"/>
      <c r="X899" s="18"/>
      <c r="Y899" s="18"/>
      <c r="AG899" s="18"/>
      <c r="AH899" s="18"/>
      <c r="AI899" s="18"/>
    </row>
    <row r="900" spans="5:35" x14ac:dyDescent="0.25">
      <c r="E900" s="28"/>
      <c r="I900" s="28"/>
      <c r="X900" s="18"/>
      <c r="Y900" s="18"/>
      <c r="AG900" s="18"/>
      <c r="AH900" s="18"/>
      <c r="AI900" s="18"/>
    </row>
    <row r="901" spans="5:35" x14ac:dyDescent="0.25">
      <c r="E901" s="28"/>
      <c r="I901" s="28"/>
      <c r="X901" s="18"/>
      <c r="Y901" s="18"/>
      <c r="AG901" s="18"/>
      <c r="AH901" s="18"/>
      <c r="AI901" s="18"/>
    </row>
    <row r="902" spans="5:35" x14ac:dyDescent="0.25">
      <c r="E902" s="28"/>
      <c r="I902" s="28"/>
      <c r="X902" s="18"/>
      <c r="Y902" s="18"/>
      <c r="AG902" s="18"/>
      <c r="AH902" s="18"/>
      <c r="AI902" s="18"/>
    </row>
    <row r="903" spans="5:35" x14ac:dyDescent="0.25">
      <c r="E903" s="28"/>
      <c r="I903" s="28"/>
      <c r="X903" s="18"/>
      <c r="Y903" s="18"/>
      <c r="AG903" s="18"/>
      <c r="AH903" s="18"/>
      <c r="AI903" s="18"/>
    </row>
    <row r="904" spans="5:35" x14ac:dyDescent="0.25">
      <c r="E904" s="28"/>
      <c r="I904" s="28"/>
      <c r="X904" s="18"/>
      <c r="Y904" s="18"/>
      <c r="AG904" s="18"/>
      <c r="AH904" s="18"/>
      <c r="AI904" s="18"/>
    </row>
    <row r="905" spans="5:35" x14ac:dyDescent="0.25">
      <c r="E905" s="28"/>
      <c r="I905" s="28"/>
      <c r="X905" s="18"/>
      <c r="Y905" s="18"/>
      <c r="AG905" s="18"/>
      <c r="AH905" s="18"/>
      <c r="AI905" s="18"/>
    </row>
    <row r="906" spans="5:35" x14ac:dyDescent="0.25">
      <c r="E906" s="28"/>
      <c r="I906" s="28"/>
      <c r="X906" s="18"/>
      <c r="Y906" s="18"/>
      <c r="AG906" s="18"/>
      <c r="AH906" s="18"/>
      <c r="AI906" s="18"/>
    </row>
    <row r="907" spans="5:35" x14ac:dyDescent="0.25">
      <c r="E907" s="28"/>
      <c r="I907" s="28"/>
      <c r="X907" s="18"/>
      <c r="Y907" s="18"/>
      <c r="AG907" s="18"/>
      <c r="AH907" s="18"/>
      <c r="AI907" s="18"/>
    </row>
    <row r="908" spans="5:35" x14ac:dyDescent="0.25">
      <c r="E908" s="28"/>
      <c r="I908" s="28"/>
      <c r="X908" s="18"/>
      <c r="Y908" s="18"/>
      <c r="AG908" s="18"/>
      <c r="AH908" s="18"/>
      <c r="AI908" s="18"/>
    </row>
    <row r="909" spans="5:35" x14ac:dyDescent="0.25">
      <c r="E909" s="28"/>
      <c r="I909" s="28"/>
      <c r="X909" s="18"/>
      <c r="Y909" s="18"/>
      <c r="AG909" s="18"/>
      <c r="AH909" s="18"/>
      <c r="AI909" s="18"/>
    </row>
    <row r="910" spans="5:35" x14ac:dyDescent="0.25">
      <c r="E910" s="28"/>
      <c r="I910" s="28"/>
      <c r="X910" s="18"/>
      <c r="Y910" s="18"/>
      <c r="AG910" s="18"/>
      <c r="AH910" s="18"/>
      <c r="AI910" s="18"/>
    </row>
    <row r="911" spans="5:35" x14ac:dyDescent="0.25">
      <c r="E911" s="28"/>
      <c r="I911" s="28"/>
      <c r="X911" s="18"/>
      <c r="Y911" s="18"/>
      <c r="AG911" s="18"/>
      <c r="AH911" s="18"/>
      <c r="AI911" s="18"/>
    </row>
    <row r="912" spans="5:35" x14ac:dyDescent="0.25">
      <c r="E912" s="28"/>
      <c r="I912" s="28"/>
      <c r="X912" s="18"/>
      <c r="Y912" s="18"/>
      <c r="AG912" s="18"/>
      <c r="AH912" s="18"/>
      <c r="AI912" s="18"/>
    </row>
    <row r="913" spans="5:35" x14ac:dyDescent="0.25">
      <c r="E913" s="28"/>
      <c r="I913" s="28"/>
      <c r="X913" s="18"/>
      <c r="Y913" s="18"/>
      <c r="AG913" s="18"/>
      <c r="AH913" s="18"/>
      <c r="AI913" s="18"/>
    </row>
    <row r="914" spans="5:35" x14ac:dyDescent="0.25">
      <c r="E914" s="28"/>
      <c r="I914" s="28"/>
      <c r="X914" s="18"/>
      <c r="Y914" s="18"/>
      <c r="AG914" s="18"/>
      <c r="AH914" s="18"/>
      <c r="AI914" s="18"/>
    </row>
    <row r="915" spans="5:35" x14ac:dyDescent="0.25">
      <c r="E915" s="28"/>
      <c r="I915" s="28"/>
      <c r="X915" s="18"/>
      <c r="Y915" s="18"/>
      <c r="AG915" s="18"/>
      <c r="AH915" s="18"/>
      <c r="AI915" s="18"/>
    </row>
    <row r="916" spans="5:35" x14ac:dyDescent="0.25">
      <c r="E916" s="28"/>
      <c r="I916" s="28"/>
      <c r="X916" s="18"/>
      <c r="Y916" s="18"/>
      <c r="AG916" s="18"/>
      <c r="AH916" s="18"/>
      <c r="AI916" s="18"/>
    </row>
    <row r="917" spans="5:35" x14ac:dyDescent="0.25">
      <c r="E917" s="28"/>
      <c r="I917" s="28"/>
      <c r="X917" s="18"/>
      <c r="Y917" s="18"/>
      <c r="AG917" s="18"/>
      <c r="AH917" s="18"/>
      <c r="AI917" s="18"/>
    </row>
    <row r="918" spans="5:35" x14ac:dyDescent="0.25">
      <c r="E918" s="28"/>
      <c r="I918" s="28"/>
      <c r="X918" s="18"/>
      <c r="Y918" s="18"/>
      <c r="AG918" s="18"/>
      <c r="AH918" s="18"/>
      <c r="AI918" s="18"/>
    </row>
    <row r="919" spans="5:35" x14ac:dyDescent="0.25">
      <c r="E919" s="28"/>
      <c r="I919" s="28"/>
      <c r="X919" s="18"/>
      <c r="Y919" s="18"/>
      <c r="AG919" s="18"/>
      <c r="AH919" s="18"/>
      <c r="AI919" s="18"/>
    </row>
    <row r="920" spans="5:35" x14ac:dyDescent="0.25">
      <c r="E920" s="28"/>
      <c r="I920" s="28"/>
      <c r="X920" s="18"/>
      <c r="Y920" s="18"/>
      <c r="AG920" s="18"/>
      <c r="AH920" s="18"/>
      <c r="AI920" s="18"/>
    </row>
    <row r="921" spans="5:35" x14ac:dyDescent="0.25">
      <c r="E921" s="28"/>
      <c r="I921" s="28"/>
      <c r="X921" s="18"/>
      <c r="Y921" s="18"/>
      <c r="AG921" s="18"/>
      <c r="AH921" s="18"/>
      <c r="AI921" s="18"/>
    </row>
    <row r="922" spans="5:35" x14ac:dyDescent="0.25">
      <c r="E922" s="28"/>
      <c r="I922" s="28"/>
      <c r="X922" s="18"/>
      <c r="Y922" s="18"/>
      <c r="AG922" s="18"/>
      <c r="AH922" s="18"/>
      <c r="AI922" s="18"/>
    </row>
    <row r="923" spans="5:35" x14ac:dyDescent="0.25">
      <c r="E923" s="28"/>
      <c r="I923" s="28"/>
      <c r="X923" s="18"/>
      <c r="Y923" s="18"/>
      <c r="AG923" s="18"/>
      <c r="AH923" s="18"/>
      <c r="AI923" s="18"/>
    </row>
    <row r="924" spans="5:35" x14ac:dyDescent="0.25">
      <c r="E924" s="28"/>
      <c r="I924" s="28"/>
      <c r="X924" s="18"/>
      <c r="Y924" s="18"/>
      <c r="AG924" s="18"/>
      <c r="AH924" s="18"/>
      <c r="AI924" s="18"/>
    </row>
    <row r="925" spans="5:35" x14ac:dyDescent="0.25">
      <c r="E925" s="28"/>
      <c r="I925" s="28"/>
      <c r="X925" s="18"/>
      <c r="Y925" s="18"/>
      <c r="AG925" s="18"/>
      <c r="AH925" s="18"/>
      <c r="AI925" s="18"/>
    </row>
    <row r="926" spans="5:35" x14ac:dyDescent="0.25">
      <c r="E926" s="28"/>
      <c r="I926" s="28"/>
      <c r="X926" s="18"/>
      <c r="Y926" s="18"/>
      <c r="AG926" s="18"/>
      <c r="AH926" s="18"/>
      <c r="AI926" s="18"/>
    </row>
    <row r="927" spans="5:35" x14ac:dyDescent="0.25">
      <c r="E927" s="28"/>
      <c r="I927" s="28"/>
      <c r="X927" s="18"/>
      <c r="Y927" s="18"/>
      <c r="AG927" s="18"/>
      <c r="AH927" s="18"/>
      <c r="AI927" s="18"/>
    </row>
    <row r="928" spans="5:35" x14ac:dyDescent="0.25">
      <c r="E928" s="28"/>
      <c r="I928" s="28"/>
      <c r="X928" s="18"/>
      <c r="Y928" s="18"/>
      <c r="AG928" s="18"/>
      <c r="AH928" s="18"/>
      <c r="AI928" s="18"/>
    </row>
    <row r="929" spans="5:35" x14ac:dyDescent="0.25">
      <c r="E929" s="28"/>
      <c r="I929" s="28"/>
      <c r="X929" s="18"/>
      <c r="Y929" s="18"/>
      <c r="AG929" s="18"/>
      <c r="AH929" s="18"/>
      <c r="AI929" s="18"/>
    </row>
    <row r="930" spans="5:35" x14ac:dyDescent="0.25">
      <c r="E930" s="28"/>
      <c r="I930" s="28"/>
      <c r="X930" s="18"/>
      <c r="Y930" s="18"/>
      <c r="AG930" s="18"/>
      <c r="AH930" s="18"/>
      <c r="AI930" s="18"/>
    </row>
    <row r="931" spans="5:35" x14ac:dyDescent="0.25">
      <c r="E931" s="28"/>
      <c r="I931" s="28"/>
      <c r="X931" s="18"/>
      <c r="Y931" s="18"/>
      <c r="AG931" s="18"/>
      <c r="AH931" s="18"/>
      <c r="AI931" s="18"/>
    </row>
    <row r="932" spans="5:35" x14ac:dyDescent="0.25">
      <c r="E932" s="28"/>
      <c r="I932" s="28"/>
      <c r="X932" s="18"/>
      <c r="Y932" s="18"/>
      <c r="AG932" s="18"/>
      <c r="AH932" s="18"/>
      <c r="AI932" s="18"/>
    </row>
    <row r="933" spans="5:35" x14ac:dyDescent="0.25">
      <c r="E933" s="28"/>
      <c r="I933" s="28"/>
      <c r="X933" s="18"/>
      <c r="Y933" s="18"/>
      <c r="AG933" s="18"/>
      <c r="AH933" s="18"/>
      <c r="AI933" s="18"/>
    </row>
    <row r="934" spans="5:35" x14ac:dyDescent="0.25">
      <c r="E934" s="28"/>
      <c r="I934" s="28"/>
      <c r="X934" s="18"/>
      <c r="Y934" s="18"/>
      <c r="AG934" s="18"/>
      <c r="AH934" s="18"/>
      <c r="AI934" s="18"/>
    </row>
    <row r="935" spans="5:35" x14ac:dyDescent="0.25">
      <c r="E935" s="28"/>
      <c r="I935" s="28"/>
      <c r="X935" s="18"/>
      <c r="Y935" s="18"/>
      <c r="AG935" s="18"/>
      <c r="AH935" s="18"/>
      <c r="AI935" s="18"/>
    </row>
    <row r="936" spans="5:35" x14ac:dyDescent="0.25">
      <c r="E936" s="28"/>
      <c r="I936" s="28"/>
      <c r="X936" s="18"/>
      <c r="Y936" s="18"/>
      <c r="AG936" s="18"/>
      <c r="AH936" s="18"/>
      <c r="AI936" s="18"/>
    </row>
    <row r="937" spans="5:35" x14ac:dyDescent="0.25">
      <c r="E937" s="28"/>
      <c r="I937" s="28"/>
      <c r="X937" s="18"/>
      <c r="Y937" s="18"/>
      <c r="AG937" s="18"/>
      <c r="AH937" s="18"/>
      <c r="AI937" s="18"/>
    </row>
    <row r="938" spans="5:35" x14ac:dyDescent="0.25">
      <c r="E938" s="28"/>
      <c r="I938" s="28"/>
      <c r="X938" s="18"/>
      <c r="Y938" s="18"/>
      <c r="AG938" s="18"/>
      <c r="AH938" s="18"/>
      <c r="AI938" s="18"/>
    </row>
    <row r="939" spans="5:35" x14ac:dyDescent="0.25">
      <c r="E939" s="28"/>
      <c r="I939" s="28"/>
      <c r="X939" s="18"/>
      <c r="Y939" s="18"/>
      <c r="AG939" s="18"/>
      <c r="AH939" s="18"/>
      <c r="AI939" s="18"/>
    </row>
    <row r="940" spans="5:35" x14ac:dyDescent="0.25">
      <c r="E940" s="28"/>
      <c r="I940" s="28"/>
      <c r="X940" s="18"/>
      <c r="Y940" s="18"/>
      <c r="AG940" s="18"/>
      <c r="AH940" s="18"/>
      <c r="AI940" s="18"/>
    </row>
    <row r="941" spans="5:35" x14ac:dyDescent="0.25">
      <c r="E941" s="28"/>
      <c r="I941" s="28"/>
      <c r="X941" s="18"/>
      <c r="Y941" s="18"/>
      <c r="AG941" s="18"/>
      <c r="AH941" s="18"/>
      <c r="AI941" s="18"/>
    </row>
    <row r="942" spans="5:35" x14ac:dyDescent="0.25">
      <c r="E942" s="28"/>
      <c r="I942" s="28"/>
      <c r="X942" s="18"/>
      <c r="Y942" s="18"/>
      <c r="AG942" s="18"/>
      <c r="AH942" s="18"/>
      <c r="AI942" s="18"/>
    </row>
    <row r="943" spans="5:35" x14ac:dyDescent="0.25">
      <c r="E943" s="28"/>
      <c r="I943" s="28"/>
      <c r="X943" s="18"/>
      <c r="Y943" s="18"/>
      <c r="AG943" s="18"/>
      <c r="AH943" s="18"/>
      <c r="AI943" s="18"/>
    </row>
    <row r="944" spans="5:35" x14ac:dyDescent="0.25">
      <c r="E944" s="28"/>
      <c r="I944" s="28"/>
      <c r="X944" s="18"/>
      <c r="Y944" s="18"/>
      <c r="AG944" s="18"/>
      <c r="AH944" s="18"/>
      <c r="AI944" s="18"/>
    </row>
    <row r="945" spans="5:35" x14ac:dyDescent="0.25">
      <c r="E945" s="28"/>
      <c r="I945" s="28"/>
      <c r="X945" s="18"/>
      <c r="Y945" s="18"/>
      <c r="AG945" s="18"/>
      <c r="AH945" s="18"/>
      <c r="AI945" s="18"/>
    </row>
    <row r="946" spans="5:35" x14ac:dyDescent="0.25">
      <c r="E946" s="28"/>
      <c r="I946" s="28"/>
      <c r="X946" s="18"/>
      <c r="Y946" s="18"/>
      <c r="AG946" s="18"/>
      <c r="AH946" s="18"/>
      <c r="AI946" s="18"/>
    </row>
    <row r="947" spans="5:35" x14ac:dyDescent="0.25">
      <c r="E947" s="28"/>
      <c r="I947" s="28"/>
      <c r="X947" s="18"/>
      <c r="Y947" s="18"/>
      <c r="AG947" s="18"/>
      <c r="AH947" s="18"/>
      <c r="AI947" s="18"/>
    </row>
    <row r="948" spans="5:35" x14ac:dyDescent="0.25">
      <c r="E948" s="28"/>
      <c r="I948" s="28"/>
      <c r="X948" s="18"/>
      <c r="Y948" s="18"/>
      <c r="AG948" s="18"/>
      <c r="AH948" s="18"/>
      <c r="AI948" s="18"/>
    </row>
    <row r="949" spans="5:35" x14ac:dyDescent="0.25">
      <c r="E949" s="28"/>
      <c r="I949" s="28"/>
      <c r="X949" s="18"/>
      <c r="Y949" s="18"/>
      <c r="AG949" s="18"/>
      <c r="AH949" s="18"/>
      <c r="AI949" s="18"/>
    </row>
    <row r="950" spans="5:35" x14ac:dyDescent="0.25">
      <c r="E950" s="28"/>
      <c r="I950" s="28"/>
      <c r="X950" s="18"/>
      <c r="Y950" s="18"/>
      <c r="AG950" s="18"/>
      <c r="AH950" s="18"/>
      <c r="AI950" s="18"/>
    </row>
    <row r="951" spans="5:35" x14ac:dyDescent="0.25">
      <c r="E951" s="28"/>
      <c r="I951" s="28"/>
      <c r="X951" s="18"/>
      <c r="Y951" s="18"/>
      <c r="AG951" s="18"/>
      <c r="AH951" s="18"/>
      <c r="AI951" s="18"/>
    </row>
    <row r="952" spans="5:35" x14ac:dyDescent="0.25">
      <c r="E952" s="28"/>
      <c r="I952" s="28"/>
      <c r="X952" s="18"/>
      <c r="Y952" s="18"/>
      <c r="AG952" s="18"/>
      <c r="AH952" s="18"/>
      <c r="AI952" s="18"/>
    </row>
    <row r="953" spans="5:35" x14ac:dyDescent="0.25">
      <c r="E953" s="28"/>
      <c r="I953" s="28"/>
      <c r="X953" s="18"/>
      <c r="Y953" s="18"/>
      <c r="AG953" s="18"/>
      <c r="AH953" s="18"/>
      <c r="AI953" s="18"/>
    </row>
    <row r="954" spans="5:35" x14ac:dyDescent="0.25">
      <c r="E954" s="28"/>
      <c r="I954" s="28"/>
      <c r="X954" s="18"/>
      <c r="Y954" s="18"/>
      <c r="AG954" s="18"/>
      <c r="AH954" s="18"/>
      <c r="AI954" s="18"/>
    </row>
    <row r="955" spans="5:35" x14ac:dyDescent="0.25">
      <c r="E955" s="28"/>
      <c r="I955" s="28"/>
      <c r="X955" s="18"/>
      <c r="Y955" s="18"/>
      <c r="AG955" s="18"/>
      <c r="AH955" s="18"/>
      <c r="AI955" s="18"/>
    </row>
    <row r="956" spans="5:35" x14ac:dyDescent="0.25">
      <c r="E956" s="28"/>
      <c r="I956" s="28"/>
      <c r="X956" s="18"/>
      <c r="Y956" s="18"/>
      <c r="AG956" s="18"/>
      <c r="AH956" s="18"/>
      <c r="AI956" s="18"/>
    </row>
    <row r="957" spans="5:35" x14ac:dyDescent="0.25">
      <c r="E957" s="28"/>
      <c r="I957" s="28"/>
      <c r="X957" s="18"/>
      <c r="Y957" s="18"/>
      <c r="AG957" s="18"/>
      <c r="AH957" s="18"/>
      <c r="AI957" s="18"/>
    </row>
    <row r="958" spans="5:35" x14ac:dyDescent="0.25">
      <c r="E958" s="28"/>
      <c r="I958" s="28"/>
      <c r="X958" s="18"/>
      <c r="Y958" s="18"/>
      <c r="AG958" s="18"/>
      <c r="AH958" s="18"/>
      <c r="AI958" s="18"/>
    </row>
    <row r="959" spans="5:35" x14ac:dyDescent="0.25">
      <c r="E959" s="28"/>
      <c r="I959" s="28"/>
      <c r="X959" s="18"/>
      <c r="Y959" s="18"/>
      <c r="AG959" s="18"/>
      <c r="AH959" s="18"/>
      <c r="AI959" s="18"/>
    </row>
    <row r="960" spans="5:35" x14ac:dyDescent="0.25">
      <c r="E960" s="28"/>
      <c r="I960" s="28"/>
      <c r="X960" s="18"/>
      <c r="Y960" s="18"/>
      <c r="AG960" s="18"/>
      <c r="AH960" s="18"/>
      <c r="AI960" s="18"/>
    </row>
    <row r="961" spans="5:35" x14ac:dyDescent="0.25">
      <c r="E961" s="28"/>
      <c r="I961" s="28"/>
      <c r="X961" s="18"/>
      <c r="Y961" s="18"/>
      <c r="AG961" s="18"/>
      <c r="AH961" s="18"/>
      <c r="AI961" s="18"/>
    </row>
    <row r="962" spans="5:35" x14ac:dyDescent="0.25">
      <c r="E962" s="28"/>
      <c r="I962" s="28"/>
      <c r="X962" s="18"/>
      <c r="Y962" s="18"/>
      <c r="AG962" s="18"/>
      <c r="AH962" s="18"/>
      <c r="AI962" s="18"/>
    </row>
    <row r="963" spans="5:35" x14ac:dyDescent="0.25">
      <c r="E963" s="28"/>
      <c r="I963" s="28"/>
      <c r="X963" s="18"/>
      <c r="Y963" s="18"/>
      <c r="AG963" s="18"/>
      <c r="AH963" s="18"/>
      <c r="AI963" s="18"/>
    </row>
    <row r="964" spans="5:35" x14ac:dyDescent="0.25">
      <c r="E964" s="28"/>
      <c r="I964" s="28"/>
      <c r="X964" s="18"/>
      <c r="Y964" s="18"/>
      <c r="AG964" s="18"/>
      <c r="AH964" s="18"/>
      <c r="AI964" s="18"/>
    </row>
    <row r="965" spans="5:35" x14ac:dyDescent="0.25">
      <c r="E965" s="28"/>
      <c r="I965" s="28"/>
      <c r="X965" s="18"/>
      <c r="Y965" s="18"/>
      <c r="AG965" s="18"/>
      <c r="AH965" s="18"/>
      <c r="AI965" s="18"/>
    </row>
    <row r="966" spans="5:35" x14ac:dyDescent="0.25">
      <c r="E966" s="28"/>
      <c r="I966" s="28"/>
      <c r="X966" s="18"/>
      <c r="Y966" s="18"/>
      <c r="AG966" s="18"/>
      <c r="AH966" s="18"/>
      <c r="AI966" s="18"/>
    </row>
    <row r="967" spans="5:35" x14ac:dyDescent="0.25">
      <c r="E967" s="28"/>
      <c r="I967" s="28"/>
      <c r="X967" s="18"/>
      <c r="Y967" s="18"/>
      <c r="AG967" s="18"/>
      <c r="AH967" s="18"/>
      <c r="AI967" s="18"/>
    </row>
    <row r="968" spans="5:35" x14ac:dyDescent="0.25">
      <c r="E968" s="28"/>
      <c r="I968" s="28"/>
      <c r="X968" s="18"/>
      <c r="Y968" s="18"/>
      <c r="AG968" s="18"/>
      <c r="AH968" s="18"/>
      <c r="AI968" s="18"/>
    </row>
    <row r="969" spans="5:35" x14ac:dyDescent="0.25">
      <c r="E969" s="28"/>
      <c r="I969" s="28"/>
      <c r="X969" s="18"/>
      <c r="Y969" s="18"/>
      <c r="AG969" s="18"/>
      <c r="AH969" s="18"/>
      <c r="AI969" s="18"/>
    </row>
    <row r="970" spans="5:35" x14ac:dyDescent="0.25">
      <c r="E970" s="28"/>
      <c r="I970" s="28"/>
      <c r="X970" s="18"/>
      <c r="Y970" s="18"/>
      <c r="AG970" s="18"/>
      <c r="AH970" s="18"/>
      <c r="AI970" s="18"/>
    </row>
    <row r="971" spans="5:35" x14ac:dyDescent="0.25">
      <c r="E971" s="28"/>
      <c r="I971" s="28"/>
      <c r="X971" s="18"/>
      <c r="Y971" s="18"/>
      <c r="AG971" s="18"/>
      <c r="AH971" s="18"/>
      <c r="AI971" s="18"/>
    </row>
    <row r="972" spans="5:35" x14ac:dyDescent="0.25">
      <c r="E972" s="28"/>
      <c r="I972" s="28"/>
      <c r="X972" s="18"/>
      <c r="Y972" s="18"/>
      <c r="AG972" s="18"/>
      <c r="AH972" s="18"/>
      <c r="AI972" s="18"/>
    </row>
    <row r="973" spans="5:35" x14ac:dyDescent="0.25">
      <c r="E973" s="28"/>
      <c r="I973" s="28"/>
      <c r="X973" s="18"/>
      <c r="Y973" s="18"/>
      <c r="AG973" s="18"/>
      <c r="AH973" s="18"/>
      <c r="AI973" s="18"/>
    </row>
    <row r="974" spans="5:35" x14ac:dyDescent="0.25">
      <c r="E974" s="28"/>
      <c r="I974" s="28"/>
      <c r="X974" s="18"/>
      <c r="Y974" s="18"/>
      <c r="AG974" s="18"/>
      <c r="AH974" s="18"/>
      <c r="AI974" s="18"/>
    </row>
    <row r="975" spans="5:35" x14ac:dyDescent="0.25">
      <c r="E975" s="28"/>
      <c r="I975" s="28"/>
      <c r="X975" s="18"/>
      <c r="Y975" s="18"/>
      <c r="AG975" s="18"/>
      <c r="AH975" s="18"/>
      <c r="AI975" s="18"/>
    </row>
    <row r="976" spans="5:35" x14ac:dyDescent="0.25">
      <c r="E976" s="28"/>
      <c r="I976" s="28"/>
      <c r="X976" s="18"/>
      <c r="Y976" s="18"/>
      <c r="AG976" s="18"/>
      <c r="AH976" s="18"/>
      <c r="AI976" s="18"/>
    </row>
    <row r="977" spans="5:35" x14ac:dyDescent="0.25">
      <c r="E977" s="28"/>
      <c r="I977" s="28"/>
      <c r="X977" s="18"/>
      <c r="Y977" s="18"/>
      <c r="AG977" s="18"/>
      <c r="AH977" s="18"/>
      <c r="AI977" s="18"/>
    </row>
    <row r="978" spans="5:35" x14ac:dyDescent="0.25">
      <c r="E978" s="28"/>
      <c r="I978" s="28"/>
      <c r="X978" s="18"/>
      <c r="Y978" s="18"/>
      <c r="AG978" s="18"/>
      <c r="AH978" s="18"/>
      <c r="AI978" s="18"/>
    </row>
    <row r="979" spans="5:35" x14ac:dyDescent="0.25">
      <c r="E979" s="28"/>
      <c r="I979" s="28"/>
      <c r="X979" s="18"/>
      <c r="Y979" s="18"/>
      <c r="AG979" s="18"/>
      <c r="AH979" s="18"/>
      <c r="AI979" s="18"/>
    </row>
    <row r="980" spans="5:35" x14ac:dyDescent="0.25">
      <c r="E980" s="28"/>
      <c r="I980" s="28"/>
      <c r="X980" s="18"/>
      <c r="Y980" s="18"/>
      <c r="AG980" s="18"/>
      <c r="AH980" s="18"/>
      <c r="AI980" s="18"/>
    </row>
    <row r="981" spans="5:35" x14ac:dyDescent="0.25">
      <c r="E981" s="28"/>
      <c r="I981" s="28"/>
      <c r="X981" s="18"/>
      <c r="Y981" s="18"/>
      <c r="AG981" s="18"/>
      <c r="AH981" s="18"/>
      <c r="AI981" s="18"/>
    </row>
    <row r="982" spans="5:35" x14ac:dyDescent="0.25">
      <c r="E982" s="28"/>
      <c r="I982" s="28"/>
      <c r="X982" s="18"/>
      <c r="Y982" s="18"/>
      <c r="AG982" s="18"/>
      <c r="AH982" s="18"/>
      <c r="AI982" s="18"/>
    </row>
    <row r="983" spans="5:35" x14ac:dyDescent="0.25">
      <c r="E983" s="28"/>
      <c r="I983" s="28"/>
      <c r="X983" s="18"/>
      <c r="Y983" s="18"/>
      <c r="AG983" s="18"/>
      <c r="AH983" s="18"/>
      <c r="AI983" s="18"/>
    </row>
    <row r="984" spans="5:35" x14ac:dyDescent="0.25">
      <c r="E984" s="28"/>
      <c r="I984" s="28"/>
      <c r="X984" s="18"/>
      <c r="Y984" s="18"/>
      <c r="AG984" s="18"/>
      <c r="AH984" s="18"/>
      <c r="AI984" s="18"/>
    </row>
    <row r="985" spans="5:35" x14ac:dyDescent="0.25">
      <c r="E985" s="28"/>
      <c r="I985" s="28"/>
      <c r="X985" s="18"/>
      <c r="Y985" s="18"/>
      <c r="AG985" s="18"/>
      <c r="AH985" s="18"/>
      <c r="AI985" s="18"/>
    </row>
    <row r="986" spans="5:35" x14ac:dyDescent="0.25">
      <c r="E986" s="28"/>
      <c r="I986" s="28"/>
      <c r="X986" s="18"/>
      <c r="Y986" s="18"/>
      <c r="AG986" s="18"/>
      <c r="AH986" s="18"/>
      <c r="AI986" s="18"/>
    </row>
    <row r="987" spans="5:35" x14ac:dyDescent="0.25">
      <c r="E987" s="28"/>
      <c r="I987" s="28"/>
      <c r="X987" s="18"/>
      <c r="Y987" s="18"/>
      <c r="AG987" s="18"/>
      <c r="AH987" s="18"/>
      <c r="AI987" s="18"/>
    </row>
    <row r="988" spans="5:35" x14ac:dyDescent="0.25">
      <c r="E988" s="28"/>
      <c r="I988" s="28"/>
      <c r="X988" s="18"/>
      <c r="Y988" s="18"/>
      <c r="AG988" s="18"/>
      <c r="AH988" s="18"/>
      <c r="AI988" s="18"/>
    </row>
    <row r="989" spans="5:35" x14ac:dyDescent="0.25">
      <c r="E989" s="28"/>
      <c r="I989" s="28"/>
      <c r="X989" s="18"/>
      <c r="Y989" s="18"/>
      <c r="AG989" s="18"/>
      <c r="AH989" s="18"/>
      <c r="AI989" s="18"/>
    </row>
    <row r="990" spans="5:35" x14ac:dyDescent="0.25">
      <c r="E990" s="28"/>
      <c r="I990" s="28"/>
      <c r="X990" s="18"/>
      <c r="Y990" s="18"/>
      <c r="AG990" s="18"/>
      <c r="AH990" s="18"/>
      <c r="AI990" s="18"/>
    </row>
    <row r="991" spans="5:35" x14ac:dyDescent="0.25">
      <c r="E991" s="28"/>
      <c r="I991" s="28"/>
      <c r="X991" s="18"/>
      <c r="Y991" s="18"/>
      <c r="AG991" s="18"/>
      <c r="AH991" s="18"/>
      <c r="AI991" s="18"/>
    </row>
    <row r="992" spans="5:35" x14ac:dyDescent="0.25">
      <c r="E992" s="28"/>
      <c r="I992" s="28"/>
      <c r="X992" s="18"/>
      <c r="Y992" s="18"/>
      <c r="AG992" s="18"/>
      <c r="AH992" s="18"/>
      <c r="AI992" s="18"/>
    </row>
    <row r="993" spans="5:35" x14ac:dyDescent="0.25">
      <c r="E993" s="28"/>
      <c r="I993" s="28"/>
      <c r="X993" s="18"/>
      <c r="Y993" s="18"/>
      <c r="AG993" s="18"/>
      <c r="AH993" s="18"/>
      <c r="AI993" s="18"/>
    </row>
    <row r="994" spans="5:35" x14ac:dyDescent="0.25">
      <c r="E994" s="28"/>
      <c r="I994" s="28"/>
      <c r="X994" s="18"/>
      <c r="Y994" s="18"/>
      <c r="AG994" s="18"/>
      <c r="AH994" s="18"/>
      <c r="AI994" s="18"/>
    </row>
    <row r="995" spans="5:35" x14ac:dyDescent="0.25">
      <c r="E995" s="28"/>
      <c r="I995" s="28"/>
      <c r="X995" s="18"/>
      <c r="Y995" s="18"/>
      <c r="AG995" s="18"/>
      <c r="AH995" s="18"/>
      <c r="AI995" s="18"/>
    </row>
    <row r="996" spans="5:35" x14ac:dyDescent="0.25">
      <c r="E996" s="28"/>
      <c r="I996" s="28"/>
      <c r="X996" s="18"/>
      <c r="Y996" s="18"/>
      <c r="AG996" s="18"/>
      <c r="AH996" s="18"/>
      <c r="AI996" s="18"/>
    </row>
    <row r="997" spans="5:35" x14ac:dyDescent="0.25">
      <c r="E997" s="28"/>
      <c r="I997" s="28"/>
      <c r="X997" s="18"/>
      <c r="Y997" s="18"/>
      <c r="AG997" s="18"/>
      <c r="AH997" s="18"/>
      <c r="AI997" s="18"/>
    </row>
    <row r="998" spans="5:35" x14ac:dyDescent="0.25">
      <c r="E998" s="28"/>
      <c r="I998" s="28"/>
      <c r="X998" s="18"/>
      <c r="Y998" s="18"/>
      <c r="AG998" s="18"/>
      <c r="AH998" s="18"/>
      <c r="AI998" s="18"/>
    </row>
    <row r="999" spans="5:35" x14ac:dyDescent="0.25">
      <c r="E999" s="28"/>
      <c r="I999" s="28"/>
      <c r="X999" s="18"/>
      <c r="Y999" s="18"/>
      <c r="AG999" s="18"/>
      <c r="AH999" s="18"/>
      <c r="AI999" s="18"/>
    </row>
    <row r="1000" spans="5:35" x14ac:dyDescent="0.25">
      <c r="E1000" s="28"/>
      <c r="I1000" s="28"/>
      <c r="X1000" s="18"/>
      <c r="Y1000" s="18"/>
      <c r="AG1000" s="18"/>
      <c r="AH1000" s="18"/>
      <c r="AI1000" s="18"/>
    </row>
    <row r="1001" spans="5:35" x14ac:dyDescent="0.25">
      <c r="E1001" s="28"/>
      <c r="I1001" s="28"/>
      <c r="X1001" s="18"/>
      <c r="Y1001" s="18"/>
      <c r="AG1001" s="18"/>
      <c r="AH1001" s="18"/>
      <c r="AI1001" s="18"/>
    </row>
    <row r="1002" spans="5:35" x14ac:dyDescent="0.25">
      <c r="E1002" s="28"/>
      <c r="I1002" s="28"/>
      <c r="X1002" s="18"/>
      <c r="Y1002" s="18"/>
      <c r="AG1002" s="18"/>
      <c r="AH1002" s="18"/>
      <c r="AI1002" s="18"/>
    </row>
    <row r="1003" spans="5:35" x14ac:dyDescent="0.25">
      <c r="E1003" s="28"/>
      <c r="I1003" s="28"/>
      <c r="X1003" s="18"/>
      <c r="Y1003" s="18"/>
      <c r="AG1003" s="18"/>
      <c r="AH1003" s="18"/>
      <c r="AI1003" s="18"/>
    </row>
    <row r="1004" spans="5:35" x14ac:dyDescent="0.25">
      <c r="E1004" s="28"/>
      <c r="I1004" s="28"/>
      <c r="X1004" s="18"/>
      <c r="Y1004" s="18"/>
      <c r="AG1004" s="18"/>
      <c r="AH1004" s="18"/>
      <c r="AI1004" s="18"/>
    </row>
    <row r="1005" spans="5:35" x14ac:dyDescent="0.25">
      <c r="E1005" s="28"/>
      <c r="I1005" s="28"/>
      <c r="X1005" s="18"/>
      <c r="Y1005" s="18"/>
      <c r="AG1005" s="18"/>
      <c r="AH1005" s="18"/>
      <c r="AI1005" s="18"/>
    </row>
    <row r="1006" spans="5:35" x14ac:dyDescent="0.25">
      <c r="E1006" s="28"/>
      <c r="I1006" s="28"/>
      <c r="X1006" s="18"/>
      <c r="Y1006" s="18"/>
      <c r="AG1006" s="18"/>
      <c r="AH1006" s="18"/>
      <c r="AI1006" s="18"/>
    </row>
    <row r="1007" spans="5:35" x14ac:dyDescent="0.25">
      <c r="E1007" s="28"/>
      <c r="I1007" s="28"/>
      <c r="X1007" s="18"/>
      <c r="Y1007" s="18"/>
      <c r="AG1007" s="18"/>
      <c r="AH1007" s="18"/>
      <c r="AI1007" s="18"/>
    </row>
    <row r="1008" spans="5:35" x14ac:dyDescent="0.25">
      <c r="E1008" s="28"/>
      <c r="I1008" s="28"/>
      <c r="X1008" s="18"/>
      <c r="Y1008" s="18"/>
      <c r="AG1008" s="18"/>
      <c r="AH1008" s="18"/>
      <c r="AI1008" s="18"/>
    </row>
    <row r="1009" spans="5:35" x14ac:dyDescent="0.25">
      <c r="E1009" s="28"/>
      <c r="I1009" s="28"/>
      <c r="X1009" s="18"/>
      <c r="Y1009" s="18"/>
      <c r="AG1009" s="18"/>
      <c r="AH1009" s="18"/>
      <c r="AI1009" s="18"/>
    </row>
    <row r="1010" spans="5:35" x14ac:dyDescent="0.25">
      <c r="E1010" s="28"/>
      <c r="I1010" s="28"/>
      <c r="X1010" s="18"/>
      <c r="Y1010" s="18"/>
      <c r="AG1010" s="18"/>
      <c r="AH1010" s="18"/>
      <c r="AI1010" s="18"/>
    </row>
    <row r="1011" spans="5:35" x14ac:dyDescent="0.25">
      <c r="E1011" s="28"/>
      <c r="I1011" s="28"/>
      <c r="X1011" s="18"/>
      <c r="Y1011" s="18"/>
      <c r="AG1011" s="18"/>
      <c r="AH1011" s="18"/>
      <c r="AI1011" s="18"/>
    </row>
    <row r="1012" spans="5:35" x14ac:dyDescent="0.25">
      <c r="E1012" s="28"/>
      <c r="I1012" s="28"/>
      <c r="X1012" s="18"/>
      <c r="Y1012" s="18"/>
      <c r="AG1012" s="18"/>
      <c r="AH1012" s="18"/>
      <c r="AI1012" s="18"/>
    </row>
    <row r="1013" spans="5:35" x14ac:dyDescent="0.25">
      <c r="E1013" s="28"/>
      <c r="I1013" s="28"/>
      <c r="X1013" s="18"/>
      <c r="Y1013" s="18"/>
      <c r="AG1013" s="18"/>
      <c r="AH1013" s="18"/>
      <c r="AI1013" s="18"/>
    </row>
    <row r="1014" spans="5:35" x14ac:dyDescent="0.25">
      <c r="E1014" s="28"/>
      <c r="I1014" s="28"/>
      <c r="X1014" s="18"/>
      <c r="Y1014" s="18"/>
      <c r="AG1014" s="18"/>
      <c r="AH1014" s="18"/>
      <c r="AI1014" s="18"/>
    </row>
    <row r="1015" spans="5:35" x14ac:dyDescent="0.25">
      <c r="E1015" s="28"/>
      <c r="I1015" s="28"/>
      <c r="X1015" s="18"/>
      <c r="Y1015" s="18"/>
      <c r="AG1015" s="18"/>
      <c r="AH1015" s="18"/>
      <c r="AI1015" s="18"/>
    </row>
    <row r="1016" spans="5:35" x14ac:dyDescent="0.25">
      <c r="E1016" s="28"/>
      <c r="I1016" s="28"/>
      <c r="X1016" s="18"/>
      <c r="Y1016" s="18"/>
      <c r="AG1016" s="18"/>
      <c r="AH1016" s="18"/>
      <c r="AI1016" s="18"/>
    </row>
    <row r="1017" spans="5:35" x14ac:dyDescent="0.25">
      <c r="E1017" s="28"/>
      <c r="I1017" s="28"/>
      <c r="X1017" s="18"/>
      <c r="Y1017" s="18"/>
      <c r="AG1017" s="18"/>
      <c r="AH1017" s="18"/>
      <c r="AI1017" s="18"/>
    </row>
    <row r="1018" spans="5:35" x14ac:dyDescent="0.25">
      <c r="E1018" s="28"/>
      <c r="I1018" s="28"/>
      <c r="X1018" s="18"/>
      <c r="Y1018" s="18"/>
      <c r="AG1018" s="18"/>
      <c r="AH1018" s="18"/>
      <c r="AI1018" s="18"/>
    </row>
    <row r="1019" spans="5:35" x14ac:dyDescent="0.25">
      <c r="E1019" s="28"/>
      <c r="I1019" s="28"/>
      <c r="X1019" s="18"/>
      <c r="Y1019" s="18"/>
      <c r="AG1019" s="18"/>
      <c r="AH1019" s="18"/>
      <c r="AI1019" s="18"/>
    </row>
    <row r="1020" spans="5:35" x14ac:dyDescent="0.25">
      <c r="E1020" s="28"/>
      <c r="I1020" s="28"/>
      <c r="X1020" s="18"/>
      <c r="Y1020" s="18"/>
      <c r="AG1020" s="18"/>
      <c r="AH1020" s="18"/>
      <c r="AI1020" s="18"/>
    </row>
    <row r="1021" spans="5:35" x14ac:dyDescent="0.25">
      <c r="E1021" s="28"/>
      <c r="I1021" s="28"/>
      <c r="X1021" s="18"/>
      <c r="Y1021" s="18"/>
      <c r="AG1021" s="18"/>
      <c r="AH1021" s="18"/>
      <c r="AI1021" s="18"/>
    </row>
    <row r="1022" spans="5:35" x14ac:dyDescent="0.25">
      <c r="E1022" s="28"/>
      <c r="I1022" s="28"/>
      <c r="X1022" s="18"/>
      <c r="Y1022" s="18"/>
      <c r="AG1022" s="18"/>
      <c r="AH1022" s="18"/>
      <c r="AI1022" s="18"/>
    </row>
    <row r="1023" spans="5:35" x14ac:dyDescent="0.25">
      <c r="E1023" s="28"/>
      <c r="I1023" s="28"/>
      <c r="X1023" s="18"/>
      <c r="Y1023" s="18"/>
      <c r="AG1023" s="18"/>
      <c r="AH1023" s="18"/>
      <c r="AI1023" s="18"/>
    </row>
    <row r="1024" spans="5:35" x14ac:dyDescent="0.25">
      <c r="E1024" s="28"/>
      <c r="I1024" s="28"/>
      <c r="X1024" s="18"/>
      <c r="Y1024" s="18"/>
      <c r="AG1024" s="18"/>
      <c r="AH1024" s="18"/>
      <c r="AI1024" s="18"/>
    </row>
    <row r="1025" spans="5:35" x14ac:dyDescent="0.25">
      <c r="E1025" s="28"/>
      <c r="I1025" s="28"/>
      <c r="X1025" s="18"/>
      <c r="Y1025" s="18"/>
      <c r="AG1025" s="18"/>
      <c r="AH1025" s="18"/>
      <c r="AI1025" s="18"/>
    </row>
    <row r="1026" spans="5:35" x14ac:dyDescent="0.25">
      <c r="E1026" s="28"/>
      <c r="I1026" s="28"/>
      <c r="X1026" s="18"/>
      <c r="Y1026" s="18"/>
      <c r="AG1026" s="18"/>
      <c r="AH1026" s="18"/>
      <c r="AI1026" s="18"/>
    </row>
    <row r="1027" spans="5:35" x14ac:dyDescent="0.25">
      <c r="E1027" s="28"/>
      <c r="I1027" s="28"/>
      <c r="X1027" s="18"/>
      <c r="Y1027" s="18"/>
      <c r="AG1027" s="18"/>
      <c r="AH1027" s="18"/>
      <c r="AI1027" s="18"/>
    </row>
    <row r="1028" spans="5:35" x14ac:dyDescent="0.25">
      <c r="E1028" s="28"/>
      <c r="I1028" s="28"/>
      <c r="X1028" s="18"/>
      <c r="Y1028" s="18"/>
      <c r="AG1028" s="18"/>
      <c r="AH1028" s="18"/>
      <c r="AI1028" s="18"/>
    </row>
    <row r="1029" spans="5:35" x14ac:dyDescent="0.25">
      <c r="E1029" s="28"/>
      <c r="I1029" s="28"/>
      <c r="X1029" s="18"/>
      <c r="Y1029" s="18"/>
      <c r="AG1029" s="18"/>
      <c r="AH1029" s="18"/>
      <c r="AI1029" s="18"/>
    </row>
    <row r="1030" spans="5:35" x14ac:dyDescent="0.25">
      <c r="E1030" s="28"/>
      <c r="I1030" s="28"/>
      <c r="X1030" s="18"/>
      <c r="Y1030" s="18"/>
      <c r="AG1030" s="18"/>
      <c r="AH1030" s="18"/>
      <c r="AI1030" s="18"/>
    </row>
    <row r="1031" spans="5:35" x14ac:dyDescent="0.25">
      <c r="E1031" s="28"/>
      <c r="I1031" s="28"/>
      <c r="X1031" s="18"/>
      <c r="Y1031" s="18"/>
      <c r="AG1031" s="18"/>
      <c r="AH1031" s="18"/>
      <c r="AI1031" s="18"/>
    </row>
    <row r="1032" spans="5:35" x14ac:dyDescent="0.25">
      <c r="E1032" s="28"/>
      <c r="I1032" s="28"/>
      <c r="X1032" s="18"/>
      <c r="Y1032" s="18"/>
      <c r="AG1032" s="18"/>
      <c r="AH1032" s="18"/>
      <c r="AI1032" s="18"/>
    </row>
    <row r="1033" spans="5:35" x14ac:dyDescent="0.25">
      <c r="E1033" s="28"/>
      <c r="I1033" s="28"/>
      <c r="X1033" s="18"/>
      <c r="Y1033" s="18"/>
      <c r="AG1033" s="18"/>
      <c r="AH1033" s="18"/>
      <c r="AI1033" s="18"/>
    </row>
    <row r="1034" spans="5:35" x14ac:dyDescent="0.25">
      <c r="E1034" s="28"/>
      <c r="I1034" s="28"/>
      <c r="X1034" s="18"/>
      <c r="Y1034" s="18"/>
      <c r="AG1034" s="18"/>
      <c r="AH1034" s="18"/>
      <c r="AI1034" s="18"/>
    </row>
    <row r="1035" spans="5:35" x14ac:dyDescent="0.25">
      <c r="E1035" s="28"/>
      <c r="I1035" s="28"/>
      <c r="X1035" s="18"/>
      <c r="Y1035" s="18"/>
      <c r="AG1035" s="18"/>
      <c r="AH1035" s="18"/>
      <c r="AI1035" s="18"/>
    </row>
    <row r="1036" spans="5:35" x14ac:dyDescent="0.25">
      <c r="E1036" s="28"/>
      <c r="I1036" s="28"/>
      <c r="X1036" s="18"/>
      <c r="Y1036" s="18"/>
      <c r="AG1036" s="18"/>
      <c r="AH1036" s="18"/>
      <c r="AI1036" s="18"/>
    </row>
    <row r="1037" spans="5:35" x14ac:dyDescent="0.25">
      <c r="E1037" s="28"/>
      <c r="I1037" s="28"/>
      <c r="X1037" s="18"/>
      <c r="Y1037" s="18"/>
      <c r="AG1037" s="18"/>
      <c r="AH1037" s="18"/>
      <c r="AI1037" s="18"/>
    </row>
    <row r="1038" spans="5:35" x14ac:dyDescent="0.25">
      <c r="E1038" s="28"/>
      <c r="I1038" s="28"/>
      <c r="X1038" s="18"/>
      <c r="Y1038" s="18"/>
      <c r="AG1038" s="18"/>
      <c r="AH1038" s="18"/>
      <c r="AI1038" s="18"/>
    </row>
    <row r="1039" spans="5:35" x14ac:dyDescent="0.25">
      <c r="E1039" s="28"/>
      <c r="I1039" s="28"/>
      <c r="X1039" s="18"/>
      <c r="Y1039" s="18"/>
      <c r="AG1039" s="18"/>
      <c r="AH1039" s="18"/>
      <c r="AI1039" s="18"/>
    </row>
    <row r="1040" spans="5:35" x14ac:dyDescent="0.25">
      <c r="X1040" s="18"/>
      <c r="Y1040" s="18"/>
      <c r="AG1040" s="18"/>
      <c r="AH1040" s="18"/>
      <c r="AI1040" s="18"/>
    </row>
    <row r="1041" spans="24:35" x14ac:dyDescent="0.25">
      <c r="X1041" s="18"/>
      <c r="Y1041" s="18"/>
      <c r="AG1041" s="18"/>
      <c r="AH1041" s="18"/>
      <c r="AI1041" s="18"/>
    </row>
    <row r="1042" spans="24:35" x14ac:dyDescent="0.25">
      <c r="X1042" s="18"/>
      <c r="Y1042" s="18"/>
      <c r="AG1042" s="18"/>
      <c r="AH1042" s="18"/>
      <c r="AI1042" s="18"/>
    </row>
    <row r="1043" spans="24:35" x14ac:dyDescent="0.25">
      <c r="X1043" s="18"/>
      <c r="Y1043" s="18"/>
      <c r="AG1043" s="18"/>
      <c r="AH1043" s="18"/>
      <c r="AI1043" s="18"/>
    </row>
    <row r="1044" spans="24:35" x14ac:dyDescent="0.25">
      <c r="X1044" s="18"/>
      <c r="Y1044" s="18"/>
      <c r="AG1044" s="18"/>
      <c r="AH1044" s="18"/>
      <c r="AI1044" s="18"/>
    </row>
    <row r="1045" spans="24:35" x14ac:dyDescent="0.25">
      <c r="X1045" s="18"/>
      <c r="Y1045" s="18"/>
      <c r="AG1045" s="18"/>
      <c r="AH1045" s="18"/>
      <c r="AI1045" s="18"/>
    </row>
    <row r="1046" spans="24:35" x14ac:dyDescent="0.25">
      <c r="X1046" s="18"/>
      <c r="Y1046" s="18"/>
      <c r="AG1046" s="18"/>
      <c r="AH1046" s="18"/>
      <c r="AI1046" s="18"/>
    </row>
    <row r="1047" spans="24:35" x14ac:dyDescent="0.25">
      <c r="X1047" s="18"/>
      <c r="Y1047" s="18"/>
      <c r="AG1047" s="18"/>
      <c r="AH1047" s="18"/>
      <c r="AI1047" s="18"/>
    </row>
    <row r="1048" spans="24:35" x14ac:dyDescent="0.25">
      <c r="X1048" s="18"/>
      <c r="Y1048" s="18"/>
      <c r="AG1048" s="18"/>
      <c r="AH1048" s="18"/>
      <c r="AI1048" s="18"/>
    </row>
    <row r="1049" spans="24:35" x14ac:dyDescent="0.25">
      <c r="X1049" s="18"/>
      <c r="Y1049" s="18"/>
      <c r="AG1049" s="18"/>
      <c r="AH1049" s="18"/>
      <c r="AI1049" s="18"/>
    </row>
    <row r="1050" spans="24:35" x14ac:dyDescent="0.25">
      <c r="X1050" s="18"/>
      <c r="Y1050" s="18"/>
      <c r="AG1050" s="18"/>
      <c r="AH1050" s="18"/>
      <c r="AI1050" s="18"/>
    </row>
    <row r="1051" spans="24:35" x14ac:dyDescent="0.25">
      <c r="X1051" s="18"/>
      <c r="Y1051" s="18"/>
      <c r="AG1051" s="18"/>
      <c r="AH1051" s="18"/>
      <c r="AI1051" s="18"/>
    </row>
    <row r="1052" spans="24:35" x14ac:dyDescent="0.25">
      <c r="X1052" s="18"/>
      <c r="Y1052" s="18"/>
      <c r="AG1052" s="18"/>
      <c r="AH1052" s="18"/>
      <c r="AI1052" s="18"/>
    </row>
    <row r="1053" spans="24:35" x14ac:dyDescent="0.25">
      <c r="X1053" s="18"/>
      <c r="Y1053" s="18"/>
      <c r="AG1053" s="18"/>
      <c r="AH1053" s="18"/>
      <c r="AI1053" s="18"/>
    </row>
    <row r="1054" spans="24:35" x14ac:dyDescent="0.25">
      <c r="X1054" s="18"/>
      <c r="Y1054" s="18"/>
      <c r="AG1054" s="18"/>
      <c r="AH1054" s="18"/>
      <c r="AI1054" s="18"/>
    </row>
    <row r="1055" spans="24:35" x14ac:dyDescent="0.25">
      <c r="X1055" s="18"/>
      <c r="Y1055" s="18"/>
      <c r="AG1055" s="18"/>
      <c r="AH1055" s="18"/>
      <c r="AI1055" s="18"/>
    </row>
    <row r="1056" spans="24:35" x14ac:dyDescent="0.25">
      <c r="X1056" s="18"/>
      <c r="Y1056" s="18"/>
      <c r="AG1056" s="18"/>
      <c r="AH1056" s="18"/>
      <c r="AI1056" s="18"/>
    </row>
    <row r="1057" spans="12:35" x14ac:dyDescent="0.25">
      <c r="L1057" s="17">
        <f>'Invoer APP data'!K1057</f>
        <v>0</v>
      </c>
      <c r="X1057" s="18"/>
      <c r="Y1057" s="18"/>
      <c r="AC1057" s="17">
        <f>'Invoer APP data'!AN1057</f>
        <v>0</v>
      </c>
      <c r="AG1057" s="18"/>
      <c r="AH1057" s="18"/>
      <c r="AI1057" s="18"/>
    </row>
    <row r="1058" spans="12:35" x14ac:dyDescent="0.25">
      <c r="L1058" s="17">
        <f>'Invoer APP data'!K1058</f>
        <v>0</v>
      </c>
      <c r="X1058" s="18"/>
      <c r="Y1058" s="18"/>
      <c r="AC1058" s="17">
        <f>'Invoer APP data'!AN1058</f>
        <v>0</v>
      </c>
      <c r="AG1058" s="18"/>
      <c r="AH1058" s="18"/>
      <c r="AI1058" s="18"/>
    </row>
    <row r="1059" spans="12:35" x14ac:dyDescent="0.25">
      <c r="L1059" s="17">
        <f>'Invoer APP data'!K1059</f>
        <v>0</v>
      </c>
      <c r="X1059" s="18"/>
      <c r="Y1059" s="18"/>
      <c r="AC1059" s="17">
        <f>'Invoer APP data'!AN1059</f>
        <v>0</v>
      </c>
      <c r="AG1059" s="18"/>
      <c r="AH1059" s="18"/>
      <c r="AI1059" s="18"/>
    </row>
    <row r="1060" spans="12:35" x14ac:dyDescent="0.25">
      <c r="L1060" s="17">
        <f>'Invoer APP data'!K1060</f>
        <v>0</v>
      </c>
      <c r="X1060" s="18"/>
      <c r="Y1060" s="18"/>
      <c r="AC1060" s="17">
        <f>'Invoer APP data'!AN1060</f>
        <v>0</v>
      </c>
      <c r="AG1060" s="18"/>
      <c r="AH1060" s="18"/>
      <c r="AI1060" s="18"/>
    </row>
    <row r="1061" spans="12:35" x14ac:dyDescent="0.25">
      <c r="L1061" s="17">
        <f>'Invoer APP data'!K1061</f>
        <v>0</v>
      </c>
      <c r="X1061" s="18"/>
      <c r="Y1061" s="18"/>
      <c r="AC1061" s="17">
        <f>'Invoer APP data'!AN1061</f>
        <v>0</v>
      </c>
      <c r="AG1061" s="18"/>
      <c r="AH1061" s="18"/>
      <c r="AI1061" s="18"/>
    </row>
    <row r="1062" spans="12:35" x14ac:dyDescent="0.25">
      <c r="L1062" s="17">
        <f>'Invoer APP data'!K1062</f>
        <v>0</v>
      </c>
      <c r="X1062" s="18"/>
      <c r="Y1062" s="18"/>
      <c r="AC1062" s="17">
        <f>'Invoer APP data'!AN1062</f>
        <v>0</v>
      </c>
      <c r="AG1062" s="18"/>
      <c r="AH1062" s="18"/>
      <c r="AI1062" s="18"/>
    </row>
    <row r="1063" spans="12:35" x14ac:dyDescent="0.25">
      <c r="L1063" s="17">
        <f>'Invoer APP data'!K1063</f>
        <v>0</v>
      </c>
      <c r="X1063" s="18"/>
      <c r="Y1063" s="18"/>
      <c r="AC1063" s="17">
        <f>'Invoer APP data'!AN1063</f>
        <v>0</v>
      </c>
      <c r="AG1063" s="18"/>
      <c r="AH1063" s="18"/>
      <c r="AI1063" s="18"/>
    </row>
    <row r="1064" spans="12:35" x14ac:dyDescent="0.25">
      <c r="L1064" s="17">
        <f>'Invoer APP data'!K1064</f>
        <v>0</v>
      </c>
      <c r="X1064" s="18"/>
      <c r="Y1064" s="18"/>
      <c r="AC1064" s="17">
        <f>'Invoer APP data'!AN1064</f>
        <v>0</v>
      </c>
      <c r="AG1064" s="18"/>
      <c r="AH1064" s="18"/>
      <c r="AI1064" s="18"/>
    </row>
    <row r="1065" spans="12:35" x14ac:dyDescent="0.25">
      <c r="L1065" s="17">
        <f>'Invoer APP data'!K1065</f>
        <v>0</v>
      </c>
      <c r="X1065" s="18"/>
      <c r="Y1065" s="18"/>
      <c r="AC1065" s="17">
        <f>'Invoer APP data'!AN1065</f>
        <v>0</v>
      </c>
      <c r="AG1065" s="18"/>
      <c r="AH1065" s="18"/>
      <c r="AI1065" s="18"/>
    </row>
    <row r="1066" spans="12:35" x14ac:dyDescent="0.25">
      <c r="L1066" s="17">
        <f>'Invoer APP data'!K1066</f>
        <v>0</v>
      </c>
      <c r="X1066" s="18"/>
      <c r="Y1066" s="18"/>
      <c r="AC1066" s="17">
        <f>'Invoer APP data'!AN1066</f>
        <v>0</v>
      </c>
      <c r="AG1066" s="18"/>
      <c r="AH1066" s="18"/>
      <c r="AI1066" s="18"/>
    </row>
    <row r="1067" spans="12:35" x14ac:dyDescent="0.25">
      <c r="X1067" s="18"/>
      <c r="Y1067" s="18"/>
      <c r="AG1067" s="18"/>
      <c r="AH1067" s="18"/>
      <c r="AI1067" s="18"/>
    </row>
    <row r="1068" spans="12:35" x14ac:dyDescent="0.25">
      <c r="X1068" s="18"/>
      <c r="Y1068" s="18"/>
    </row>
  </sheetData>
  <autoFilter ref="A1:AP1066" xr:uid="{5FA9F2C5-2A80-40F0-ABC6-EC876C3BEE48}">
    <sortState xmlns:xlrd2="http://schemas.microsoft.com/office/spreadsheetml/2017/richdata2" ref="A852:AP852">
      <sortCondition ref="K1:K1062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4C0-EEB6-43A1-977A-04CBD0DD848C}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 xr:uid="{CA4764C0-EEB6-43A1-977A-04CBD0DD848C}"/>
  <phoneticPr fontId="3" type="noConversion"/>
  <hyperlinks>
    <hyperlink ref="J2" r:id="rId1" display="mailto:letter.achternaam@gemeente.nl" xr:uid="{1B6002AF-D815-4999-B25E-78F8BBCD6D43}"/>
    <hyperlink ref="O2" r:id="rId2" display="mailto:letter.achternaam@gemeente.nl" xr:uid="{95346917-3E80-4EA3-A1B1-C4C7E6722FC6}"/>
    <hyperlink ref="P2" r:id="rId3" xr:uid="{66E98122-A82B-4238-940E-1F641D831B4C}"/>
    <hyperlink ref="U2" r:id="rId4" display="mailto:letter.achternaam@gemeente.nl" xr:uid="{46576A51-1928-42FD-8F76-9ACFEE814F94}"/>
  </hyperlinks>
  <pageMargins left="0.7" right="0.7" top="0.75" bottom="0.75" header="0.3" footer="0.3"/>
  <pageSetup paperSize="9" orientation="portrait" horizontalDpi="360" verticalDpi="36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127-42FF-46D7-A7BE-D6B327F344FD}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1198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434" xr:uid="{F31C3127-42FF-46D7-A7BE-D6B327F344FD}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8AFA-DED0-476A-AD3C-1E5843262B11}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 xr:uid="{D4C58AFA-DED0-476A-AD3C-1E5843262B11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8F3A-2307-4656-B058-576ECC862847}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98" xr:uid="{FE148F3A-2307-4656-B058-576ECC862847}">
    <sortState xmlns:xlrd2="http://schemas.microsoft.com/office/spreadsheetml/2017/richdata2" ref="A2:D98">
      <sortCondition ref="A1:A9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BD4B-87F1-492F-B21B-0961C7B7BBA9}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28" xr:uid="{5015BD4B-87F1-492F-B21B-0961C7B7BBA9}">
    <sortState xmlns:xlrd2="http://schemas.microsoft.com/office/spreadsheetml/2017/richdata2" ref="A2:A128">
      <sortCondition ref="A1:A128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2022-05-04T12:35:44Z</dcterms:created>
  <dcterms:modified xsi:type="dcterms:W3CDTF">2026-10-01T09:45:24Z</dcterms:modified>
  <cp:category/>
  <cp:contentStatus/>
</cp:coreProperties>
</file>