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3_ncr:1_{3CAEA186-9AA1-40C3-AE4A-D564E2BAA450}" xr6:coauthVersionLast="47" xr6:coauthVersionMax="47" xr10:uidLastSave="{00000000-0000-0000-0000-000000000000}"/>
  <bookViews>
    <workbookView xWindow="51480" yWindow="5280" windowWidth="29040" windowHeight="15840" tabRatio="594" firstSheet="1" xr2:uid="{00000000-000D-0000-FFFF-FFFF00000000}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definedNames>
    <definedName name="_xlnm._FilterDatabase" localSheetId="7" hidden="1">Behandelgroepen!$A$1:$E$1</definedName>
    <definedName name="_xlnm._FilterDatabase" localSheetId="3" hidden="1">'Beheerde Applicaties CMDB'!$A$1:$AP$1066</definedName>
    <definedName name="_xlnm._FilterDatabase" localSheetId="8" hidden="1">Blad3!$A$1:$A$128</definedName>
    <definedName name="_xlnm._FilterDatabase" localSheetId="5" hidden="1">'Gearchiveerde Applicaties'!$A$1:$I$434</definedName>
    <definedName name="_xlnm._FilterDatabase" localSheetId="0" hidden="1">'Invoer AIA data'!$A$1:$BB$1</definedName>
    <definedName name="_xlnm._FilterDatabase" localSheetId="2" hidden="1">'Invoer APP data'!$A$1:$CD$1</definedName>
    <definedName name="_xlnm._FilterDatabase" localSheetId="4" hidden="1">'Invoer gearchiveerde appl'!$A$1:$CO$1</definedName>
    <definedName name="_xlnm._FilterDatabase" localSheetId="1" hidden="1">'Onbeh Applicaties CMDB'!$A$1:$AH$98</definedName>
    <definedName name="_xlnm._FilterDatabase" localSheetId="9" hidden="1">Origineel!$A$2:$AA$2</definedName>
    <definedName name="_xlnm._FilterDatabase" localSheetId="6" hidden="1">'Relatie APP oplosgroepen'!$B$2:$APJ$2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<sst xmlns="http://schemas.openxmlformats.org/spreadsheetml/2006/main" count="607" uniqueCount="224">
  <si>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</si>
  <si>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</si>
  <si>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</si>
  <si>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</si>
  <si>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</si>
  <si>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</si>
  <si>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</si>
  <si>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</si>
  <si>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</si>
  <si>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</si>
  <si>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</si>
  <si>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</si>
  <si>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</si>
  <si>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</si>
  <si>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</si>
  <si>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</si>
  <si>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</si>
  <si>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</si>
  <si>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</si>
  <si>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</si>
  <si>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Vendor⚡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</si>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</sst>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FAE6-2986-4F38-9797-2552E7727FDA}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 xr:uid="{6C8FFAE6-2986-4F38-9797-2552E7727FDA}"/>
  <hyperlinks>
    <hyperlink ref="J2" r:id="rId1" display="mailto:letter.achternaam@gemeente.nl" xr:uid="{92E263F2-1000-4547-B807-F14BED24D8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6ADF-A76E-483E-B515-1BC07834D443}">
  <sheetViews>
    <sheetView workbookViewId="0">
      <selection activeCell="C4" sqref="C4"/>
    </sheetView>
  </sheetViews>
  <sheetFormatPr defaultRowHeight="15" x14ac:dyDescent="0.25"/>
  <sheetData>
    <row r="1" x14ac:dyDescent="0.25">
      <c r="A1" s="17" t="s">
        <v>190</v>
      </c>
      <c r="B1" s="17" t="s">
        <v>146</v>
      </c>
      <c r="C1" s="17" t="s">
        <v>145</v>
      </c>
      <c r="D1" s="17" t="s">
        <v>143</v>
      </c>
      <c r="E1" s="17" t="s">
        <v>137</v>
      </c>
      <c r="F1" s="18" t="s">
        <v>136</v>
      </c>
      <c r="G1" s="17" t="s">
        <v>119</v>
      </c>
      <c r="H1" s="17" t="s">
        <v>104</v>
      </c>
      <c r="I1" s="17" t="s">
        <v>105</v>
      </c>
      <c r="J1" s="17" t="s">
        <v>103</v>
      </c>
      <c r="K1" s="18" t="s">
        <v>102</v>
      </c>
      <c r="L1" s="17" t="s">
        <v>101</v>
      </c>
      <c r="M1" s="18" t="s">
        <v>97</v>
      </c>
      <c r="N1" s="17" t="s">
        <v>96</v>
      </c>
      <c r="O1" s="17" t="s">
        <v>20</v>
      </c>
      <c r="P1" s="17" t="s">
        <v>17</v>
      </c>
      <c r="Q1" s="17" t="s">
        <v>16</v>
      </c>
      <c r="R1" s="17" t="s">
        <v>15</v>
      </c>
      <c r="S1" s="17" t="s">
        <v>100</v>
      </c>
      <c r="T1" s="17" t="s">
        <v>13</v>
      </c>
      <c r="U1" s="17" t="s">
        <v>12</v>
      </c>
      <c r="V1" s="17" t="s">
        <v>11</v>
      </c>
      <c r="W1" s="17" t="s">
        <v>10</v>
      </c>
      <c r="X1" s="17" t="s">
        <v>154</v>
      </c>
      <c r="Y1" s="17" t="s">
        <v>153</v>
      </c>
      <c r="Z1" s="17" t="s">
        <v>152</v>
      </c>
      <c r="AA1" s="18" t="s">
        <v>8</v>
      </c>
      <c r="AB1" s="17" t="s">
        <v>7</v>
      </c>
      <c r="AC1" s="17" t="s">
        <v>6</v>
      </c>
      <c r="AD1" s="17" t="s">
        <v>5</v>
      </c>
      <c r="AE1" s="17" t="s">
        <v>72</v>
      </c>
      <c r="AF1" s="17" t="s">
        <v>3</v>
      </c>
      <c r="AG1" s="17" t="s">
        <v>2</v>
      </c>
      <c r="AH1" s="17" t="s">
        <v>1</v>
      </c>
      <c r="AI1" s="17" t="s">
        <v>0</v>
      </c>
    </row>
    <row r="2" x14ac:dyDescent="0.25">
      <c r="A2" s="17" t="str">
        <f>'Invoer AIA data'!AO2</f>
        <v>Geen</v>
      </c>
      <c r="B2" s="17" t="str">
        <f>'Invoer AIA data'!AJ2</f>
        <v>Ja</v>
      </c>
      <c r="C2" s="17" t="str">
        <f>IF('Invoer AIA data'!AC2="","NB",'Invoer AIA data'!AC2)</f>
        <v>NB</v>
      </c>
      <c r="D2" s="18">
        <f>'Invoer AIA data'!E2</f>
        <v>46232.552113113423</v>
      </c>
      <c r="E2" s="17" t="str">
        <f>'Invoer AIA data'!AN2</f>
        <v>Herbeoordeling</v>
      </c>
      <c r="F2" s="18">
        <f>IF('Invoer AIA data'!AM2 = "",73050,'Invoer AIA data'!AM2)</f>
        <v>73050</v>
      </c>
      <c r="G2" s="17">
        <f>B2</f>
        <v>1234</v>
      </c>
      <c r="H2" s="17" t="str">
        <f>'Invoer AIA data'!AH2</f>
        <v xml:space="preserve">Aangetekend B.V. </v>
      </c>
      <c r="I2" s="17" t="str">
        <f>IF('Invoer AIA data'!Y2="Saas","Ja","Nee")</f>
        <v>Nee</v>
      </c>
      <c r="J2" s="17" t="str">
        <f>LEFT('Invoer AIA data'!G2,3)</f>
        <v>H10</v>
      </c>
      <c r="K2" s="18">
        <f t="shared" ref="Y2" ca="1" si="0">TODAY()</f>
        <v>46296</v>
      </c>
      <c r="L2" s="17" t="s">
        <v>222</v>
      </c>
      <c r="M2" s="18">
        <f>'Invoer AIA data'!D2</f>
        <v>45111.380322627316</v>
      </c>
      <c r="N2" s="17" t="s">
        <v>52</v>
      </c>
      <c r="O2" s="17" t="str">
        <f>'Invoer AIA data'!AK2</f>
        <v>Aangetekend B.V.</v>
      </c>
      <c r="U2" s="17" t="str">
        <f>IF('Invoer AIA data'!AQ2 = "","Niet bekend",MID('Invoer AIA data'!AQ2,5,25))</f>
        <v>Niet bekend</v>
      </c>
      <c r="V2" s="17" t="str">
        <f>IF('Invoer AIA data'!AI2 = "","Niet bekend",MID('Invoer AIA data'!AI2,5,25))</f>
        <v>Niet bekend</v>
      </c>
      <c r="W2" s="17" t="str">
        <f>IF('Invoer AIA data'!Z2 = "","Niet bekend",MID('Invoer AIA data'!Z2,5,25))</f>
        <v>Niet bekend</v>
      </c>
      <c r="X2" s="31" t="s">
        <v>214</v>
      </c>
      <c r="Y2" s="17" t="str">
        <f>'Invoer AIA data'!K2</f>
        <v>Afdelingshoofd</v>
      </c>
      <c r="Z2" s="17" t="str">
        <f>IF('Invoer AIA data'!H2&lt;&gt;"",'Invoer AIA data'!H2,'Invoer AIA data'!G2)</f>
        <v>H10 Accounting</v>
      </c>
      <c r="AA2" s="18">
        <f>IF('Invoer AIA data'!O2="",49675,'Invoer AIA data'!O2)</f>
        <v>49675</v>
      </c>
      <c r="AB2" s="17" t="str">
        <f>'Invoer AIA data'!Y2</f>
        <v>Webapplicatie</v>
      </c>
      <c r="AD2" s="17" t="str">
        <f>'Invoer AIA data'!AU2</f>
        <v>In voorraad</v>
      </c>
      <c r="AE2" s="17" t="str">
        <f>'Invoer AIA data'!W2</f>
        <v>Mailen</v>
      </c>
      <c r="AF2" s="17" t="str">
        <f>'Invoer AIA data'!AL2</f>
        <v>Aangetekend Mailen</v>
      </c>
      <c r="AG2" s="22" t="str">
        <f>'Invoer AIA data'!B2</f>
        <v>AIA-AangetekendMailen</v>
      </c>
      <c r="AH2" s="17">
        <f>_xlfn.NUMBERVALUE('Invoer AIA data'!X2)</f>
        <v>1234</v>
      </c>
      <c r="AI2" s="17" t="str">
        <f>RIGHT('Invoer AIA data'!B2,LEN('Invoer AIA data'!B2)-4)</f>
        <v>AangetekendMailen</v>
      </c>
    </row>
    <row r="3" x14ac:dyDescent="0.25">
      <c r="D3" s="18"/>
      <c r="AG3" s="22"/>
    </row>
    <row r="4" x14ac:dyDescent="0.25">
      <c r="D4" s="18"/>
      <c r="AG4" s="22"/>
    </row>
    <row r="5" x14ac:dyDescent="0.25">
      <c r="D5" s="18"/>
      <c r="AG5" s="22"/>
    </row>
    <row r="6" x14ac:dyDescent="0.25">
      <c r="D6" s="18"/>
      <c r="AG6" s="22"/>
    </row>
    <row r="7" x14ac:dyDescent="0.25">
      <c r="D7" s="18"/>
      <c r="AG7" s="22"/>
    </row>
    <row r="8" x14ac:dyDescent="0.25">
      <c r="D8" s="18"/>
      <c r="AG8" s="22"/>
    </row>
    <row r="9" x14ac:dyDescent="0.25">
      <c r="D9" s="18"/>
      <c r="AG9" s="22"/>
    </row>
    <row r="10" x14ac:dyDescent="0.25">
      <c r="D10" s="18"/>
      <c r="AG10" s="22"/>
    </row>
    <row r="11" x14ac:dyDescent="0.25">
      <c r="D11" s="18"/>
      <c r="AG11" s="22"/>
    </row>
    <row r="12" x14ac:dyDescent="0.25">
      <c r="D12" s="18"/>
      <c r="AG12" s="22"/>
    </row>
    <row r="13" x14ac:dyDescent="0.25">
      <c r="D13" s="18"/>
      <c r="AG13" s="22"/>
    </row>
    <row r="14" x14ac:dyDescent="0.25">
      <c r="D14" s="18"/>
      <c r="AG14" s="22"/>
    </row>
    <row r="15" x14ac:dyDescent="0.25">
      <c r="D15" s="18"/>
      <c r="AG15" s="22"/>
    </row>
    <row r="16" x14ac:dyDescent="0.25">
      <c r="D16" s="18"/>
      <c r="AG16" s="22"/>
    </row>
    <row r="17" x14ac:dyDescent="0.25">
      <c r="D17" s="18"/>
      <c r="AG17" s="22"/>
    </row>
    <row r="18" x14ac:dyDescent="0.25">
      <c r="D18" s="18"/>
      <c r="AG18" s="22"/>
    </row>
    <row r="19" x14ac:dyDescent="0.25">
      <c r="D19" s="18"/>
      <c r="AG19" s="22"/>
    </row>
    <row r="20" x14ac:dyDescent="0.25">
      <c r="D20" s="18"/>
      <c r="AG20" s="22"/>
    </row>
    <row r="21" x14ac:dyDescent="0.25">
      <c r="D21" s="18"/>
      <c r="AG21" s="22"/>
    </row>
    <row r="22" x14ac:dyDescent="0.25">
      <c r="D22" s="18"/>
      <c r="AG22" s="22"/>
    </row>
    <row r="23" x14ac:dyDescent="0.25">
      <c r="D23" s="18"/>
      <c r="AG23" s="22"/>
    </row>
    <row r="24" x14ac:dyDescent="0.25">
      <c r="D24" s="18"/>
      <c r="AG24" s="22"/>
    </row>
    <row r="25" x14ac:dyDescent="0.25">
      <c r="D25" s="18"/>
      <c r="AG25" s="22"/>
    </row>
    <row r="26" x14ac:dyDescent="0.25">
      <c r="D26" s="18"/>
      <c r="AG26" s="22"/>
    </row>
    <row r="27" x14ac:dyDescent="0.25">
      <c r="D27" s="18"/>
      <c r="AG27" s="22"/>
    </row>
    <row r="28" x14ac:dyDescent="0.25">
      <c r="D28" s="18"/>
      <c r="AG28" s="22"/>
    </row>
    <row r="29" x14ac:dyDescent="0.25">
      <c r="D29" s="18"/>
      <c r="AG29" s="22"/>
    </row>
    <row r="30" x14ac:dyDescent="0.25">
      <c r="D30" s="18"/>
      <c r="AG30" s="22"/>
    </row>
    <row r="31" x14ac:dyDescent="0.25">
      <c r="D31" s="18"/>
      <c r="AG31" s="22"/>
    </row>
    <row r="32" x14ac:dyDescent="0.25">
      <c r="D32" s="18"/>
      <c r="AG32" s="22"/>
    </row>
    <row r="33" x14ac:dyDescent="0.25">
      <c r="D33" s="18"/>
      <c r="AG33" s="22"/>
    </row>
    <row r="34" x14ac:dyDescent="0.25">
      <c r="D34" s="18"/>
      <c r="AG34" s="22"/>
    </row>
    <row r="35" x14ac:dyDescent="0.25">
      <c r="D35" s="18"/>
      <c r="AG35" s="22"/>
    </row>
    <row r="36" x14ac:dyDescent="0.25">
      <c r="D36" s="18"/>
      <c r="AG36" s="22"/>
    </row>
    <row r="37" x14ac:dyDescent="0.25">
      <c r="D37" s="18"/>
      <c r="AG37" s="22"/>
    </row>
    <row r="38" x14ac:dyDescent="0.25">
      <c r="D38" s="18"/>
      <c r="AG38" s="22"/>
    </row>
    <row r="39" x14ac:dyDescent="0.25">
      <c r="D39" s="18"/>
      <c r="AG39" s="22"/>
    </row>
    <row r="40" x14ac:dyDescent="0.25">
      <c r="D40" s="18"/>
      <c r="AG40" s="22"/>
    </row>
    <row r="41" x14ac:dyDescent="0.25">
      <c r="D41" s="18"/>
      <c r="AG41" s="22"/>
    </row>
    <row r="42" x14ac:dyDescent="0.25">
      <c r="D42" s="18"/>
      <c r="AG42" s="22"/>
    </row>
    <row r="43" x14ac:dyDescent="0.25">
      <c r="D43" s="18"/>
      <c r="AG43" s="22"/>
    </row>
    <row r="44" x14ac:dyDescent="0.25">
      <c r="D44" s="18"/>
      <c r="AG44" s="22"/>
    </row>
    <row r="45" x14ac:dyDescent="0.25">
      <c r="D45" s="18"/>
      <c r="AG45" s="22"/>
    </row>
    <row r="46" x14ac:dyDescent="0.25">
      <c r="D46" s="18"/>
      <c r="AG46" s="22"/>
    </row>
    <row r="47" x14ac:dyDescent="0.25">
      <c r="D47" s="18"/>
      <c r="AG47" s="22"/>
    </row>
    <row r="48" x14ac:dyDescent="0.25">
      <c r="D48" s="18"/>
      <c r="AG48" s="22"/>
    </row>
    <row r="49" x14ac:dyDescent="0.25">
      <c r="D49" s="18"/>
      <c r="AG49" s="22"/>
    </row>
    <row r="50" x14ac:dyDescent="0.25">
      <c r="D50" s="18"/>
      <c r="AG50" s="22"/>
    </row>
    <row r="51" x14ac:dyDescent="0.25">
      <c r="D51" s="18"/>
      <c r="AG51" s="22"/>
    </row>
    <row r="52" x14ac:dyDescent="0.25">
      <c r="D52" s="18"/>
      <c r="AG52" s="22"/>
    </row>
    <row r="53" x14ac:dyDescent="0.25">
      <c r="D53" s="18"/>
      <c r="AG53" s="22"/>
    </row>
    <row r="54" x14ac:dyDescent="0.25">
      <c r="D54" s="18"/>
      <c r="AG54" s="22"/>
    </row>
    <row r="55" x14ac:dyDescent="0.25">
      <c r="D55" s="18"/>
      <c r="AG55" s="22"/>
    </row>
    <row r="56" x14ac:dyDescent="0.25">
      <c r="D56" s="18"/>
      <c r="AG56" s="22"/>
    </row>
    <row r="57" x14ac:dyDescent="0.25">
      <c r="D57" s="18"/>
      <c r="AG57" s="22"/>
    </row>
    <row r="58" x14ac:dyDescent="0.25">
      <c r="D58" s="18"/>
      <c r="AG58" s="22"/>
    </row>
    <row r="59" x14ac:dyDescent="0.25">
      <c r="D59" s="18"/>
      <c r="AG59" s="22"/>
    </row>
    <row r="60" x14ac:dyDescent="0.25">
      <c r="D60" s="18"/>
      <c r="AG60" s="22"/>
    </row>
    <row r="61" x14ac:dyDescent="0.25">
      <c r="D61" s="18"/>
      <c r="AG61" s="22"/>
    </row>
    <row r="62" x14ac:dyDescent="0.25">
      <c r="D62" s="18"/>
      <c r="AG62" s="22"/>
    </row>
    <row r="63" x14ac:dyDescent="0.25">
      <c r="D63" s="18"/>
      <c r="AG63" s="22"/>
    </row>
    <row r="64" x14ac:dyDescent="0.25">
      <c r="D64" s="18"/>
      <c r="AG64" s="22"/>
    </row>
    <row r="65" x14ac:dyDescent="0.25">
      <c r="D65" s="18"/>
      <c r="AG65" s="22"/>
    </row>
    <row r="66" x14ac:dyDescent="0.25">
      <c r="D66" s="18"/>
      <c r="AG66" s="22"/>
    </row>
    <row r="67" x14ac:dyDescent="0.25">
      <c r="D67" s="18"/>
      <c r="AG67" s="22"/>
    </row>
    <row r="68" x14ac:dyDescent="0.25">
      <c r="D68" s="18"/>
      <c r="AG68" s="22"/>
    </row>
    <row r="69" x14ac:dyDescent="0.25">
      <c r="D69" s="18"/>
      <c r="AG69" s="22"/>
    </row>
    <row r="70" x14ac:dyDescent="0.25">
      <c r="D70" s="18"/>
      <c r="AG70" s="22"/>
    </row>
    <row r="71" x14ac:dyDescent="0.25">
      <c r="D71" s="18"/>
      <c r="AG71" s="22"/>
    </row>
    <row r="72" x14ac:dyDescent="0.25">
      <c r="D72" s="18"/>
      <c r="AG72" s="22"/>
    </row>
    <row r="73" x14ac:dyDescent="0.25">
      <c r="D73" s="18"/>
      <c r="AG73" s="22"/>
    </row>
    <row r="74" x14ac:dyDescent="0.25">
      <c r="D74" s="18"/>
      <c r="AG74" s="22"/>
    </row>
    <row r="75" x14ac:dyDescent="0.25">
      <c r="D75" s="18"/>
      <c r="AG75" s="22"/>
    </row>
    <row r="76" x14ac:dyDescent="0.25">
      <c r="D76" s="18"/>
      <c r="AG76" s="22"/>
    </row>
    <row r="77" x14ac:dyDescent="0.25">
      <c r="D77" s="18"/>
      <c r="AG77" s="22"/>
    </row>
    <row r="78" x14ac:dyDescent="0.25">
      <c r="D78" s="18"/>
      <c r="AG78" s="22"/>
    </row>
    <row r="79" x14ac:dyDescent="0.25">
      <c r="D79" s="18"/>
      <c r="AG79" s="22"/>
    </row>
    <row r="80" x14ac:dyDescent="0.25">
      <c r="D80" s="18"/>
      <c r="AG80" s="22"/>
    </row>
    <row r="81" x14ac:dyDescent="0.25">
      <c r="D81" s="18"/>
      <c r="AG81" s="22"/>
    </row>
    <row r="82" x14ac:dyDescent="0.25">
      <c r="D82" s="18"/>
      <c r="AG82" s="22"/>
    </row>
    <row r="83" x14ac:dyDescent="0.25">
      <c r="D83" s="18"/>
      <c r="AG83" s="22"/>
    </row>
    <row r="84" x14ac:dyDescent="0.25">
      <c r="D84" s="18"/>
      <c r="AG84" s="22"/>
    </row>
    <row r="85" x14ac:dyDescent="0.25">
      <c r="D85" s="18"/>
      <c r="AG85" s="22"/>
    </row>
    <row r="86" x14ac:dyDescent="0.25">
      <c r="D86" s="18"/>
      <c r="AG86" s="22"/>
    </row>
    <row r="87" x14ac:dyDescent="0.25">
      <c r="D87" s="18"/>
      <c r="AG87" s="22"/>
    </row>
    <row r="88" x14ac:dyDescent="0.25">
      <c r="D88" s="18"/>
      <c r="AG88" s="22"/>
    </row>
    <row r="89" x14ac:dyDescent="0.25">
      <c r="D89" s="18"/>
      <c r="AG89" s="22"/>
    </row>
    <row r="90" x14ac:dyDescent="0.25">
      <c r="D90" s="18"/>
      <c r="AG90" s="22"/>
    </row>
    <row r="91" x14ac:dyDescent="0.25">
      <c r="D91" s="18"/>
      <c r="AG91" s="22"/>
    </row>
    <row r="92" x14ac:dyDescent="0.25">
      <c r="D92" s="18"/>
      <c r="AG92" s="22"/>
    </row>
    <row r="93" x14ac:dyDescent="0.25">
      <c r="D93" s="18"/>
      <c r="AG93" s="22"/>
    </row>
    <row r="94" x14ac:dyDescent="0.25">
      <c r="D94" s="18"/>
      <c r="AG94" s="22"/>
    </row>
    <row r="95" x14ac:dyDescent="0.25">
      <c r="D95" s="18"/>
      <c r="AG95" s="22"/>
    </row>
    <row r="96" x14ac:dyDescent="0.25">
      <c r="D96" s="18"/>
      <c r="AG96" s="22"/>
    </row>
    <row r="97" x14ac:dyDescent="0.25">
      <c r="D97" s="18"/>
      <c r="AG97" s="22"/>
    </row>
    <row r="98" x14ac:dyDescent="0.25">
      <c r="D98" s="18"/>
      <c r="AG98" s="22"/>
    </row>
    <row r="99" x14ac:dyDescent="0.25">
      <c r="D99" s="18"/>
      <c r="AG99" s="22"/>
    </row>
    <row r="100" x14ac:dyDescent="0.25">
      <c r="D100" s="18"/>
      <c r="AG100" s="22"/>
    </row>
  </sheetData>
  <pageMargins left="0.7" right="0.7" top="0.75" bottom="0.75" header="0.3" footer="0.3"/>
  <pageSetup paperSize="9" orientation="portrait" r:id="rId1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925-5FC1-4109-A23D-8ADA8308449E}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 xr:uid="{C7279925-5FC1-4109-A23D-8ADA8308449E}"/>
  <hyperlinks>
    <hyperlink ref="O2" r:id="rId1" xr:uid="{7EFA633E-E1C5-4984-B2ED-623F21986EA4}"/>
    <hyperlink ref="U2" r:id="rId2" xr:uid="{56D610AE-976A-4756-8D98-54457789B78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2C5-2A80-40F0-ABC6-EC876C3BEE48}">
  <sheetViews>
    <sheetView topLeftCell="AE1" workbookViewId="0">
      <selection activeCell="AN2" sqref="AN2"/>
    </sheetView>
  </sheetViews>
  <sheetFormatPr defaultColWidth="45.85546875" defaultRowHeight="15" x14ac:dyDescent="0.25"/>
  <sheetData>
    <row r="1" x14ac:dyDescent="0.25">
      <c r="A1" s="19" t="s">
        <v>25</v>
      </c>
      <c r="B1" s="19" t="s">
        <v>24</v>
      </c>
      <c r="C1" s="19" t="s">
        <v>23</v>
      </c>
      <c r="D1" s="19" t="s">
        <v>21</v>
      </c>
      <c r="E1" s="19" t="s">
        <v>19</v>
      </c>
      <c r="F1" s="19" t="s">
        <v>18</v>
      </c>
      <c r="G1" s="19" t="s">
        <v>98</v>
      </c>
      <c r="H1" s="17" t="s">
        <v>146</v>
      </c>
      <c r="I1" s="17" t="s">
        <v>145</v>
      </c>
      <c r="J1" s="17" t="s">
        <v>143</v>
      </c>
      <c r="K1" s="25" t="s">
        <v>137</v>
      </c>
      <c r="L1" s="26" t="s">
        <v>136</v>
      </c>
      <c r="M1" s="19" t="s">
        <v>119</v>
      </c>
      <c r="N1" s="17" t="s">
        <v>104</v>
      </c>
      <c r="O1" s="19" t="s">
        <v>105</v>
      </c>
      <c r="P1" s="21" t="s">
        <v>103</v>
      </c>
      <c r="Q1" s="23" t="s">
        <v>102</v>
      </c>
      <c r="R1" s="21" t="s">
        <v>101</v>
      </c>
      <c r="S1" s="19" t="s">
        <v>97</v>
      </c>
      <c r="T1" s="19" t="s">
        <v>96</v>
      </c>
      <c r="U1" s="21" t="s">
        <v>20</v>
      </c>
      <c r="V1" s="19" t="s">
        <v>17</v>
      </c>
      <c r="W1" s="19" t="s">
        <v>16</v>
      </c>
      <c r="X1" s="19" t="s">
        <v>15</v>
      </c>
      <c r="Y1" s="20" t="s">
        <v>100</v>
      </c>
      <c r="Z1" s="19" t="s">
        <v>13</v>
      </c>
      <c r="AA1" s="19" t="s">
        <v>12</v>
      </c>
      <c r="AB1" s="19" t="s">
        <v>11</v>
      </c>
      <c r="AC1" s="19" t="s">
        <v>10</v>
      </c>
      <c r="AD1" s="17" t="s">
        <v>154</v>
      </c>
      <c r="AE1" s="17" t="s">
        <v>153</v>
      </c>
      <c r="AF1" s="17" t="s">
        <v>152</v>
      </c>
      <c r="AG1" s="24" t="s">
        <v>8</v>
      </c>
      <c r="AH1" s="19" t="s">
        <v>7</v>
      </c>
      <c r="AI1" s="19" t="s">
        <v>6</v>
      </c>
      <c r="AJ1" s="19" t="s">
        <v>5</v>
      </c>
      <c r="AK1" s="19" t="s">
        <v>4</v>
      </c>
      <c r="AL1" s="19" t="s">
        <v>72</v>
      </c>
      <c r="AM1" s="19" t="s">
        <v>3</v>
      </c>
      <c r="AN1" s="19" t="s">
        <v>2</v>
      </c>
      <c r="AO1" s="19" t="s">
        <v>1</v>
      </c>
      <c r="AP1" s="19" t="s">
        <v>0</v>
      </c>
    </row>
    <row r="2" x14ac:dyDescent="0.25">
      <c r="D2" t="inlineStr">
        <is>
          <t>NT123</t>
        </is>
      </c>
      <c r="G2" s="17" t="str">
        <f>'Invoer APP data'!M2</f>
        <v>ICT AB CD Test123</v>
      </c>
      <c r="H2" s="18" t="str">
        <f>'Invoer APP data'!AX2</f>
        <v>Ja</v>
      </c>
      <c r="I2" s="18" t="str">
        <f>IF('Invoer APP data'!AK2="","NB",'Invoer APP data'!AK2)</f>
        <v>BBN2</v>
      </c>
      <c r="J2" s="18">
        <f>'Invoer APP data'!E2</f>
        <v>46266.646099537036</v>
      </c>
      <c r="K2" s="17" t="str">
        <f>'Invoer APP data'!BD2</f>
        <v>Herbeoordeling</v>
      </c>
      <c r="L2" s="18">
        <f>IF('Invoer APP data'!BC2 = "",73050,'Invoer APP data'!BC2)</f>
        <v>73050</v>
      </c>
      <c r="M2" s="17">
        <f t="shared" ref="AD2" si="1">B2</f>
        <v>2</v>
      </c>
      <c r="N2" s="17" t="str">
        <f>'Invoer APP data'!AU2</f>
        <v/>
      </c>
      <c r="O2" s="17" t="str">
        <f>IF('Invoer APP data'!AD2="Saas","Ja","Nee")</f>
        <v>Ja</v>
      </c>
      <c r="P2" s="17" t="str">
        <f>LEFT('Invoer APP data'!G2,3)</f>
        <v>B10</v>
      </c>
      <c r="Q2" s="18">
        <f t="shared" ref="Z2" ca="1" si="0">TODAY()</f>
        <v>46296</v>
      </c>
      <c r="R2" s="18" t="str">
        <f>'Invoer APP data'!T2</f>
        <v>Accomodatieplanning.</v>
      </c>
      <c r="S2" s="18">
        <f>'Invoer APP data'!D2</f>
        <v>44636.477951388886</v>
      </c>
      <c r="T2" s="17" t="s">
        <v>52</v>
      </c>
      <c r="U2" s="17" t="str">
        <f>'Invoer APP data'!BA2</f>
        <v>Fabfrikant</v>
      </c>
      <c r="V2" s="17" t="str">
        <f>IF('Invoer APP data'!BF2 = "","Niet bekend",'Invoer APP data'!BF2)</f>
        <v>4 Laag (nauwelijks merkbaar)</v>
      </c>
      <c r="W2" s="17" t="str">
        <f>IF('Invoer APP data'!AT2 = "","Niet bekend",'Invoer APP data'!AT2)</f>
        <v>Zeer tevreden</v>
      </c>
      <c r="X2" s="17" t="str">
        <f>IF('Invoer APP data'!AR2 = "","Niet bekend",'Invoer APP data'!AR2)</f>
        <v>Voldoende flexibel</v>
      </c>
      <c r="Y2" s="17" t="str">
        <f>IF('Invoer APP data'!AW2 = "","Niet bekend",'Invoer APP data'!AW2)</f>
        <v>Preferent</v>
      </c>
      <c r="Z2" s="17" t="str">
        <f>IF('Invoer APP data'!AC2 = "","Niet bekend",'Invoer APP data'!AC2)</f>
        <v>Goed</v>
      </c>
      <c r="AA2" s="17" t="str">
        <f>IF('Invoer APP data'!BJ2 = "","Niet bekend",MID('Invoer APP data'!BJ2,5,25))</f>
        <v>Vertrouwelijk</v>
      </c>
      <c r="AB2" s="17" t="str">
        <f>IF('Invoer APP data'!AV2 = "","Niet bekend",MID('Invoer APP data'!AV2,5,25))</f>
        <v>Hoog</v>
      </c>
      <c r="AC2" s="17" t="str">
        <f>IF('Invoer APP data'!AH2 = "","Niet bekend",MID('Invoer APP data'!AH2,5,25))</f>
        <v>Nodig</v>
      </c>
      <c r="AD2" s="17" t="str">
        <f>IF('Invoer APP data'!Q2="",'Invoer APP data'!K2,'Invoer APP data'!Q2)</f>
        <v>Teamleider Applicatiebeheer</v>
      </c>
      <c r="AE2" s="17" t="str">
        <f>'Invoer APP data'!K2</f>
        <v>Teamleider Applicatiebeheer</v>
      </c>
      <c r="AF2" s="17" t="str">
        <f>IF('Invoer APP data'!H2&lt;&gt;"",'Invoer APP data'!H2,'Invoer APP data'!G2)</f>
        <v>B10 Maatschappelijke Ontwikkeling</v>
      </c>
      <c r="AG2" s="18">
        <f>IF('Invoer APP data'!S2=73050,49675,'Invoer APP data'!S2)</f>
        <v>53359</v>
      </c>
      <c r="AH2" s="28" t="str">
        <f>'Invoer APP data'!AD2</f>
        <v>Saas</v>
      </c>
      <c r="AI2" s="17" t="str">
        <f>IF('Invoer APP data'!BI2="","Tolereren",'Invoer APP data'!BI2)</f>
        <v>Tolereren</v>
      </c>
      <c r="AJ2" s="17" t="str">
        <f>'Invoer APP data'!BP2</f>
        <v>In productie</v>
      </c>
      <c r="AK2" s="17" t="str">
        <f>IF('Invoer APP data'!BH2="Ja","Ja","Nee")</f>
        <v>Nee</v>
      </c>
      <c r="AL2" s="28" t="str">
        <f>'Invoer APP data'!AA2</f>
        <v>Naamtest</v>
      </c>
      <c r="AM2" s="17" t="str">
        <f>'Invoer APP data'!BB2</f>
        <v>naamtest123</v>
      </c>
      <c r="AN2" s="17" t="str">
        <f>'Invoer APP data'!B2</f>
        <v>APP-test123</v>
      </c>
      <c r="AO2" s="17">
        <f>_xlfn.NUMBERVALUE('Invoer APP data'!AB2)</f>
        <v>2</v>
      </c>
      <c r="AP2" s="17" t="str">
        <f>RIGHT('Invoer APP data'!B2,LEN('Invoer APP data'!B2)-4)</f>
        <v>test123</v>
      </c>
    </row>
    <row r="3" x14ac:dyDescent="0.25">
      <c r="H3" s="18"/>
      <c r="I3" s="18"/>
      <c r="J3" s="18"/>
      <c r="R3" s="18"/>
      <c r="S3" s="18"/>
      <c r="AH3" s="28"/>
      <c r="AL3" s="28"/>
    </row>
    <row r="4" x14ac:dyDescent="0.25">
      <c r="H4" s="18"/>
      <c r="I4" s="18"/>
      <c r="J4" s="18"/>
      <c r="R4" s="18"/>
      <c r="S4" s="18"/>
      <c r="AH4" s="28"/>
      <c r="AL4" s="28"/>
    </row>
    <row r="5" x14ac:dyDescent="0.25">
      <c r="H5" s="18"/>
      <c r="I5" s="18"/>
      <c r="J5" s="18"/>
      <c r="R5" s="18"/>
      <c r="S5" s="18"/>
      <c r="AH5" s="28"/>
      <c r="AL5" s="28"/>
    </row>
    <row r="6" x14ac:dyDescent="0.25">
      <c r="H6" s="18"/>
      <c r="I6" s="18"/>
      <c r="J6" s="18"/>
      <c r="R6" s="18"/>
      <c r="S6" s="18"/>
      <c r="AH6" s="28"/>
      <c r="AL6" s="28"/>
    </row>
    <row r="7" x14ac:dyDescent="0.25">
      <c r="H7" s="18"/>
      <c r="I7" s="18"/>
      <c r="J7" s="18"/>
      <c r="R7" s="18"/>
      <c r="S7" s="18"/>
      <c r="AH7" s="28"/>
      <c r="AL7" s="28"/>
    </row>
    <row r="8" x14ac:dyDescent="0.25">
      <c r="H8" s="18"/>
      <c r="I8" s="18"/>
      <c r="J8" s="18"/>
      <c r="R8" s="18"/>
      <c r="S8" s="18"/>
      <c r="AH8" s="28"/>
      <c r="AL8" s="28"/>
    </row>
    <row r="9" x14ac:dyDescent="0.25">
      <c r="H9" s="18"/>
      <c r="I9" s="18"/>
      <c r="J9" s="18"/>
      <c r="R9" s="18"/>
      <c r="S9" s="18"/>
      <c r="AH9" s="28"/>
      <c r="AL9" s="28"/>
    </row>
    <row r="10" x14ac:dyDescent="0.25">
      <c r="H10" s="18"/>
      <c r="I10" s="18"/>
      <c r="J10" s="18"/>
      <c r="R10" s="18"/>
      <c r="S10" s="18"/>
      <c r="AH10" s="28"/>
      <c r="AL10" s="28"/>
    </row>
    <row r="11" x14ac:dyDescent="0.25">
      <c r="H11" s="18"/>
      <c r="I11" s="18"/>
      <c r="J11" s="18"/>
      <c r="R11" s="18"/>
      <c r="S11" s="18"/>
      <c r="AH11" s="28"/>
      <c r="AL11" s="28"/>
    </row>
    <row r="12" x14ac:dyDescent="0.25">
      <c r="H12" s="18"/>
      <c r="I12" s="18"/>
      <c r="J12" s="18"/>
      <c r="R12" s="18"/>
      <c r="S12" s="18"/>
      <c r="AH12" s="28"/>
      <c r="AL12" s="28"/>
    </row>
    <row r="13" x14ac:dyDescent="0.25">
      <c r="H13" s="18"/>
      <c r="I13" s="18"/>
      <c r="J13" s="18"/>
      <c r="R13" s="18"/>
      <c r="S13" s="18"/>
      <c r="AH13" s="28"/>
      <c r="AL13" s="28"/>
    </row>
    <row r="14" x14ac:dyDescent="0.25">
      <c r="H14" s="18"/>
      <c r="I14" s="18"/>
      <c r="J14" s="18"/>
      <c r="R14" s="18"/>
      <c r="S14" s="18"/>
      <c r="AH14" s="28"/>
      <c r="AL14" s="28"/>
    </row>
    <row r="15" x14ac:dyDescent="0.25">
      <c r="H15" s="18"/>
      <c r="I15" s="18"/>
      <c r="J15" s="18"/>
      <c r="R15" s="18"/>
      <c r="S15" s="18"/>
      <c r="AH15" s="28"/>
      <c r="AL15" s="28"/>
    </row>
    <row r="16" x14ac:dyDescent="0.25">
      <c r="H16" s="18"/>
      <c r="I16" s="18"/>
      <c r="J16" s="18"/>
      <c r="R16" s="18"/>
      <c r="S16" s="18"/>
      <c r="AH16" s="28"/>
      <c r="AL16" s="28"/>
    </row>
    <row r="17" x14ac:dyDescent="0.25">
      <c r="H17" s="18"/>
      <c r="I17" s="18"/>
      <c r="J17" s="18"/>
      <c r="R17" s="18"/>
      <c r="S17" s="18"/>
      <c r="AH17" s="28"/>
      <c r="AL17" s="28"/>
    </row>
    <row r="18" x14ac:dyDescent="0.25">
      <c r="H18" s="18"/>
      <c r="I18" s="18"/>
      <c r="J18" s="18"/>
      <c r="R18" s="18"/>
      <c r="S18" s="18"/>
      <c r="AH18" s="28"/>
      <c r="AL18" s="28"/>
    </row>
    <row r="19" x14ac:dyDescent="0.25">
      <c r="H19" s="18"/>
      <c r="I19" s="18"/>
      <c r="J19" s="18"/>
      <c r="R19" s="18"/>
      <c r="S19" s="18"/>
      <c r="AH19" s="28"/>
      <c r="AL19" s="28"/>
    </row>
    <row r="20" x14ac:dyDescent="0.25">
      <c r="H20" s="18"/>
      <c r="I20" s="18"/>
      <c r="J20" s="18"/>
      <c r="R20" s="18"/>
      <c r="S20" s="18"/>
      <c r="AH20" s="28"/>
      <c r="AL20" s="28"/>
    </row>
    <row r="21" x14ac:dyDescent="0.25">
      <c r="H21" s="18"/>
      <c r="I21" s="18"/>
      <c r="J21" s="18"/>
      <c r="R21" s="18"/>
      <c r="S21" s="18"/>
      <c r="AH21" s="28"/>
      <c r="AL21" s="28"/>
    </row>
    <row r="22" x14ac:dyDescent="0.25">
      <c r="H22" s="18"/>
      <c r="I22" s="18"/>
      <c r="J22" s="18"/>
      <c r="R22" s="18"/>
      <c r="S22" s="18"/>
      <c r="AH22" s="28"/>
      <c r="AL22" s="28"/>
    </row>
    <row r="23" x14ac:dyDescent="0.25">
      <c r="H23" s="18"/>
      <c r="I23" s="18"/>
      <c r="J23" s="18"/>
      <c r="R23" s="18"/>
      <c r="S23" s="18"/>
      <c r="AH23" s="28"/>
      <c r="AL23" s="28"/>
    </row>
    <row r="24" x14ac:dyDescent="0.25">
      <c r="H24" s="18"/>
      <c r="I24" s="18"/>
      <c r="J24" s="18"/>
      <c r="R24" s="18"/>
      <c r="S24" s="18"/>
      <c r="AH24" s="28"/>
      <c r="AL24" s="28"/>
    </row>
    <row r="25" x14ac:dyDescent="0.25">
      <c r="H25" s="18"/>
      <c r="I25" s="18"/>
      <c r="J25" s="18"/>
      <c r="R25" s="18"/>
      <c r="S25" s="18"/>
      <c r="AH25" s="28"/>
      <c r="AL25" s="28"/>
    </row>
    <row r="26" x14ac:dyDescent="0.25">
      <c r="H26" s="18"/>
      <c r="I26" s="18"/>
      <c r="J26" s="18"/>
      <c r="R26" s="18"/>
      <c r="S26" s="18"/>
      <c r="AH26" s="28"/>
      <c r="AL26" s="28"/>
    </row>
    <row r="27" x14ac:dyDescent="0.25">
      <c r="H27" s="18"/>
      <c r="I27" s="18"/>
      <c r="J27" s="18"/>
      <c r="R27" s="18"/>
      <c r="S27" s="18"/>
      <c r="AH27" s="28"/>
      <c r="AL27" s="28"/>
    </row>
    <row r="28" x14ac:dyDescent="0.25">
      <c r="H28" s="18"/>
      <c r="I28" s="18"/>
      <c r="J28" s="18"/>
      <c r="R28" s="18"/>
      <c r="S28" s="18"/>
      <c r="AH28" s="28"/>
      <c r="AL28" s="28"/>
    </row>
    <row r="29" x14ac:dyDescent="0.25">
      <c r="H29" s="18"/>
      <c r="I29" s="18"/>
      <c r="J29" s="18"/>
      <c r="R29" s="18"/>
      <c r="S29" s="18"/>
      <c r="AH29" s="28"/>
      <c r="AL29" s="28"/>
    </row>
    <row r="30" x14ac:dyDescent="0.25">
      <c r="H30" s="18"/>
      <c r="I30" s="18"/>
      <c r="J30" s="18"/>
      <c r="R30" s="18"/>
      <c r="S30" s="18"/>
      <c r="AH30" s="28"/>
      <c r="AL30" s="28"/>
    </row>
    <row r="31" x14ac:dyDescent="0.25">
      <c r="H31" s="18"/>
      <c r="I31" s="18"/>
      <c r="J31" s="18"/>
      <c r="R31" s="18"/>
      <c r="S31" s="18"/>
      <c r="AH31" s="28"/>
      <c r="AL31" s="28"/>
    </row>
    <row r="32" x14ac:dyDescent="0.25">
      <c r="H32" s="18"/>
      <c r="I32" s="18"/>
      <c r="J32" s="18"/>
      <c r="R32" s="18"/>
      <c r="S32" s="18"/>
      <c r="AH32" s="28"/>
      <c r="AL32" s="28"/>
    </row>
    <row r="33" x14ac:dyDescent="0.25">
      <c r="H33" s="18"/>
      <c r="I33" s="18"/>
      <c r="J33" s="18"/>
      <c r="R33" s="18"/>
      <c r="S33" s="18"/>
      <c r="AH33" s="28"/>
      <c r="AL33" s="28"/>
    </row>
    <row r="34" x14ac:dyDescent="0.25">
      <c r="H34" s="18"/>
      <c r="I34" s="18"/>
      <c r="J34" s="18"/>
      <c r="R34" s="18"/>
      <c r="S34" s="18"/>
      <c r="AH34" s="28"/>
      <c r="AL34" s="28"/>
    </row>
    <row r="35" x14ac:dyDescent="0.25">
      <c r="H35" s="18"/>
      <c r="I35" s="18"/>
      <c r="J35" s="18"/>
      <c r="R35" s="18"/>
      <c r="S35" s="18"/>
      <c r="AH35" s="28"/>
      <c r="AL35" s="28"/>
    </row>
    <row r="36" x14ac:dyDescent="0.25">
      <c r="H36" s="18"/>
      <c r="I36" s="18"/>
      <c r="J36" s="18"/>
      <c r="R36" s="18"/>
      <c r="S36" s="18"/>
      <c r="AH36" s="28"/>
      <c r="AL36" s="28"/>
    </row>
    <row r="37" x14ac:dyDescent="0.25">
      <c r="H37" s="18"/>
      <c r="I37" s="18"/>
      <c r="J37" s="18"/>
      <c r="R37" s="18"/>
      <c r="S37" s="18"/>
      <c r="AH37" s="28"/>
      <c r="AL37" s="28"/>
    </row>
    <row r="38" x14ac:dyDescent="0.25">
      <c r="H38" s="18"/>
      <c r="I38" s="18"/>
      <c r="J38" s="18"/>
      <c r="R38" s="18"/>
      <c r="S38" s="18"/>
      <c r="AH38" s="28"/>
      <c r="AL38" s="28"/>
    </row>
    <row r="39" x14ac:dyDescent="0.25">
      <c r="H39" s="18"/>
      <c r="I39" s="18"/>
      <c r="J39" s="18"/>
      <c r="R39" s="18"/>
      <c r="S39" s="18"/>
      <c r="AH39" s="28"/>
      <c r="AL39" s="28"/>
    </row>
    <row r="40" x14ac:dyDescent="0.25">
      <c r="H40" s="18"/>
      <c r="I40" s="18"/>
      <c r="J40" s="18"/>
      <c r="R40" s="18"/>
      <c r="S40" s="18"/>
      <c r="AH40" s="28"/>
      <c r="AL40" s="28"/>
    </row>
    <row r="41" x14ac:dyDescent="0.25">
      <c r="H41" s="18"/>
      <c r="I41" s="18"/>
      <c r="J41" s="18"/>
      <c r="R41" s="18"/>
      <c r="S41" s="18"/>
      <c r="AH41" s="28"/>
      <c r="AL41" s="28"/>
    </row>
    <row r="42" x14ac:dyDescent="0.25">
      <c r="H42" s="18"/>
      <c r="I42" s="18"/>
      <c r="J42" s="18"/>
      <c r="R42" s="18"/>
      <c r="S42" s="18"/>
      <c r="AH42" s="28"/>
      <c r="AL42" s="28"/>
    </row>
    <row r="43" x14ac:dyDescent="0.25">
      <c r="H43" s="18"/>
      <c r="I43" s="18"/>
      <c r="J43" s="18"/>
      <c r="R43" s="18"/>
      <c r="S43" s="18"/>
      <c r="AH43" s="28"/>
      <c r="AL43" s="28"/>
    </row>
    <row r="44" x14ac:dyDescent="0.25">
      <c r="H44" s="18"/>
      <c r="I44" s="18"/>
      <c r="J44" s="18"/>
      <c r="R44" s="18"/>
      <c r="S44" s="18"/>
      <c r="AH44" s="28"/>
      <c r="AL44" s="28"/>
    </row>
    <row r="45" x14ac:dyDescent="0.25">
      <c r="H45" s="18"/>
      <c r="I45" s="18"/>
      <c r="J45" s="18"/>
      <c r="R45" s="18"/>
      <c r="S45" s="18"/>
      <c r="AH45" s="28"/>
      <c r="AL45" s="28"/>
    </row>
    <row r="46" x14ac:dyDescent="0.25">
      <c r="H46" s="18"/>
      <c r="I46" s="18"/>
      <c r="J46" s="18"/>
      <c r="R46" s="18"/>
      <c r="S46" s="18"/>
      <c r="AH46" s="28"/>
      <c r="AL46" s="28"/>
    </row>
    <row r="47" x14ac:dyDescent="0.25">
      <c r="H47" s="18"/>
      <c r="I47" s="18"/>
      <c r="J47" s="18"/>
      <c r="R47" s="18"/>
      <c r="S47" s="18"/>
      <c r="AH47" s="28"/>
      <c r="AL47" s="28"/>
    </row>
    <row r="48" x14ac:dyDescent="0.25">
      <c r="H48" s="18"/>
      <c r="I48" s="18"/>
      <c r="J48" s="18"/>
      <c r="R48" s="18"/>
      <c r="S48" s="18"/>
      <c r="AH48" s="28"/>
      <c r="AL48" s="28"/>
    </row>
    <row r="49" x14ac:dyDescent="0.25">
      <c r="H49" s="18"/>
      <c r="I49" s="18"/>
      <c r="J49" s="18"/>
      <c r="R49" s="18"/>
      <c r="S49" s="18"/>
      <c r="AH49" s="28"/>
      <c r="AL49" s="28"/>
    </row>
    <row r="50" x14ac:dyDescent="0.25">
      <c r="H50" s="18"/>
      <c r="I50" s="18"/>
      <c r="J50" s="18"/>
      <c r="R50" s="18"/>
      <c r="S50" s="18"/>
      <c r="AH50" s="28"/>
      <c r="AL50" s="28"/>
    </row>
    <row r="51" x14ac:dyDescent="0.25">
      <c r="H51" s="18"/>
      <c r="I51" s="18"/>
      <c r="J51" s="18"/>
      <c r="R51" s="18"/>
      <c r="S51" s="18"/>
      <c r="AH51" s="28"/>
      <c r="AL51" s="28"/>
    </row>
    <row r="52" x14ac:dyDescent="0.25">
      <c r="H52" s="18"/>
      <c r="I52" s="18"/>
      <c r="J52" s="18"/>
      <c r="R52" s="18"/>
      <c r="S52" s="18"/>
      <c r="AH52" s="28"/>
      <c r="AL52" s="28"/>
    </row>
    <row r="53" x14ac:dyDescent="0.25">
      <c r="H53" s="18"/>
      <c r="I53" s="18"/>
      <c r="J53" s="18"/>
      <c r="R53" s="18"/>
      <c r="S53" s="18"/>
      <c r="AH53" s="28"/>
      <c r="AL53" s="28"/>
    </row>
    <row r="54" x14ac:dyDescent="0.25">
      <c r="H54" s="18"/>
      <c r="I54" s="18"/>
      <c r="J54" s="18"/>
      <c r="R54" s="18"/>
      <c r="S54" s="18"/>
      <c r="AH54" s="28"/>
      <c r="AL54" s="28"/>
    </row>
    <row r="55" x14ac:dyDescent="0.25">
      <c r="H55" s="18"/>
      <c r="I55" s="18"/>
      <c r="J55" s="18"/>
      <c r="R55" s="18"/>
      <c r="S55" s="18"/>
      <c r="AH55" s="28"/>
      <c r="AL55" s="28"/>
    </row>
    <row r="56" x14ac:dyDescent="0.25">
      <c r="H56" s="18"/>
      <c r="I56" s="18"/>
      <c r="J56" s="18"/>
      <c r="R56" s="18"/>
      <c r="S56" s="18"/>
      <c r="AH56" s="28"/>
      <c r="AL56" s="28"/>
    </row>
    <row r="57" x14ac:dyDescent="0.25">
      <c r="H57" s="18"/>
      <c r="I57" s="18"/>
      <c r="J57" s="18"/>
      <c r="R57" s="18"/>
      <c r="S57" s="18"/>
      <c r="AH57" s="28"/>
      <c r="AL57" s="28"/>
    </row>
    <row r="58" x14ac:dyDescent="0.25">
      <c r="H58" s="18"/>
      <c r="I58" s="18"/>
      <c r="J58" s="18"/>
      <c r="R58" s="18"/>
      <c r="S58" s="18"/>
      <c r="AH58" s="28"/>
      <c r="AL58" s="28"/>
    </row>
    <row r="59" x14ac:dyDescent="0.25">
      <c r="H59" s="18"/>
      <c r="I59" s="18"/>
      <c r="J59" s="18"/>
      <c r="R59" s="18"/>
      <c r="S59" s="18"/>
      <c r="AH59" s="28"/>
      <c r="AL59" s="28"/>
    </row>
    <row r="60" x14ac:dyDescent="0.25">
      <c r="H60" s="18"/>
      <c r="I60" s="18"/>
      <c r="J60" s="18"/>
      <c r="R60" s="18"/>
      <c r="S60" s="18"/>
      <c r="AH60" s="28"/>
      <c r="AL60" s="28"/>
    </row>
    <row r="61" x14ac:dyDescent="0.25">
      <c r="H61" s="18"/>
      <c r="I61" s="18"/>
      <c r="J61" s="18"/>
      <c r="R61" s="18"/>
      <c r="S61" s="18"/>
      <c r="AH61" s="28"/>
      <c r="AL61" s="28"/>
    </row>
    <row r="62" x14ac:dyDescent="0.25">
      <c r="H62" s="18"/>
      <c r="I62" s="18"/>
      <c r="J62" s="18"/>
      <c r="R62" s="18"/>
      <c r="S62" s="18"/>
      <c r="AH62" s="28"/>
      <c r="AL62" s="28"/>
    </row>
    <row r="63" x14ac:dyDescent="0.25">
      <c r="H63" s="18"/>
      <c r="I63" s="18"/>
      <c r="J63" s="18"/>
      <c r="R63" s="18"/>
      <c r="S63" s="18"/>
      <c r="AH63" s="28"/>
      <c r="AL63" s="28"/>
    </row>
    <row r="64" x14ac:dyDescent="0.25">
      <c r="H64" s="18"/>
      <c r="I64" s="18"/>
      <c r="J64" s="18"/>
      <c r="R64" s="18"/>
      <c r="S64" s="18"/>
      <c r="AH64" s="28"/>
      <c r="AL64" s="28"/>
    </row>
    <row r="65" x14ac:dyDescent="0.25">
      <c r="H65" s="18"/>
      <c r="I65" s="18"/>
      <c r="J65" s="18"/>
      <c r="R65" s="18"/>
      <c r="S65" s="18"/>
      <c r="AH65" s="28"/>
      <c r="AL65" s="28"/>
    </row>
    <row r="66" x14ac:dyDescent="0.25">
      <c r="H66" s="18"/>
      <c r="I66" s="18"/>
      <c r="J66" s="18"/>
      <c r="R66" s="18"/>
      <c r="S66" s="18"/>
      <c r="AH66" s="28"/>
      <c r="AL66" s="28"/>
    </row>
    <row r="67" x14ac:dyDescent="0.25">
      <c r="H67" s="18"/>
      <c r="I67" s="18"/>
      <c r="J67" s="18"/>
      <c r="R67" s="18"/>
      <c r="S67" s="18"/>
      <c r="AH67" s="28"/>
      <c r="AL67" s="28"/>
    </row>
    <row r="68" x14ac:dyDescent="0.25">
      <c r="H68" s="18"/>
      <c r="I68" s="18"/>
      <c r="J68" s="18"/>
      <c r="R68" s="18"/>
      <c r="S68" s="18"/>
      <c r="AH68" s="28"/>
      <c r="AL68" s="28"/>
    </row>
    <row r="69" x14ac:dyDescent="0.25">
      <c r="H69" s="18"/>
      <c r="I69" s="18"/>
      <c r="J69" s="18"/>
      <c r="R69" s="18"/>
      <c r="S69" s="18"/>
      <c r="AH69" s="28"/>
      <c r="AL69" s="28"/>
    </row>
    <row r="70" x14ac:dyDescent="0.25">
      <c r="H70" s="18"/>
      <c r="I70" s="18"/>
      <c r="J70" s="18"/>
      <c r="R70" s="18"/>
      <c r="S70" s="18"/>
      <c r="AH70" s="28"/>
      <c r="AL70" s="28"/>
    </row>
    <row r="71" x14ac:dyDescent="0.25">
      <c r="H71" s="18"/>
      <c r="I71" s="18"/>
      <c r="J71" s="18"/>
      <c r="R71" s="18"/>
      <c r="S71" s="18"/>
      <c r="AH71" s="28"/>
      <c r="AL71" s="28"/>
    </row>
    <row r="72" x14ac:dyDescent="0.25">
      <c r="H72" s="18"/>
      <c r="I72" s="18"/>
      <c r="J72" s="18"/>
      <c r="R72" s="18"/>
      <c r="S72" s="18"/>
      <c r="AH72" s="28"/>
      <c r="AL72" s="28"/>
    </row>
    <row r="73" x14ac:dyDescent="0.25">
      <c r="H73" s="18"/>
      <c r="I73" s="18"/>
      <c r="J73" s="18"/>
      <c r="R73" s="18"/>
      <c r="S73" s="18"/>
      <c r="AH73" s="28"/>
      <c r="AL73" s="28"/>
    </row>
    <row r="74" x14ac:dyDescent="0.25">
      <c r="H74" s="18"/>
      <c r="I74" s="18"/>
      <c r="J74" s="18"/>
      <c r="R74" s="18"/>
      <c r="S74" s="18"/>
      <c r="AH74" s="28"/>
      <c r="AL74" s="28"/>
    </row>
    <row r="75" x14ac:dyDescent="0.25">
      <c r="H75" s="18"/>
      <c r="I75" s="18"/>
      <c r="J75" s="18"/>
      <c r="R75" s="18"/>
      <c r="S75" s="18"/>
      <c r="AH75" s="28"/>
      <c r="AL75" s="28"/>
    </row>
    <row r="76" x14ac:dyDescent="0.25">
      <c r="H76" s="18"/>
      <c r="I76" s="18"/>
      <c r="J76" s="18"/>
      <c r="R76" s="18"/>
      <c r="S76" s="18"/>
      <c r="AH76" s="28"/>
      <c r="AL76" s="28"/>
    </row>
    <row r="77" x14ac:dyDescent="0.25">
      <c r="H77" s="18"/>
      <c r="I77" s="18"/>
      <c r="J77" s="18"/>
      <c r="R77" s="18"/>
      <c r="S77" s="18"/>
      <c r="AH77" s="28"/>
      <c r="AL77" s="28"/>
    </row>
    <row r="78" x14ac:dyDescent="0.25">
      <c r="H78" s="18"/>
      <c r="I78" s="18"/>
      <c r="J78" s="18"/>
      <c r="R78" s="18"/>
      <c r="S78" s="18"/>
      <c r="AH78" s="28"/>
      <c r="AL78" s="28"/>
    </row>
    <row r="79" x14ac:dyDescent="0.25">
      <c r="H79" s="18"/>
      <c r="I79" s="18"/>
      <c r="J79" s="18"/>
      <c r="R79" s="18"/>
      <c r="S79" s="18"/>
      <c r="AH79" s="28"/>
      <c r="AL79" s="28"/>
    </row>
    <row r="80" x14ac:dyDescent="0.25">
      <c r="H80" s="18"/>
      <c r="I80" s="18"/>
      <c r="J80" s="18"/>
      <c r="R80" s="18"/>
      <c r="S80" s="18"/>
      <c r="AH80" s="28"/>
      <c r="AL80" s="28"/>
    </row>
    <row r="81" x14ac:dyDescent="0.25">
      <c r="H81" s="18"/>
      <c r="I81" s="18"/>
      <c r="J81" s="18"/>
      <c r="R81" s="18"/>
      <c r="S81" s="18"/>
      <c r="AH81" s="28"/>
      <c r="AL81" s="28"/>
    </row>
    <row r="82" x14ac:dyDescent="0.25">
      <c r="H82" s="18"/>
      <c r="I82" s="18"/>
      <c r="J82" s="18"/>
      <c r="R82" s="18"/>
      <c r="S82" s="18"/>
      <c r="AH82" s="28"/>
      <c r="AL82" s="28"/>
    </row>
    <row r="83" x14ac:dyDescent="0.25">
      <c r="H83" s="18"/>
      <c r="I83" s="18"/>
      <c r="J83" s="18"/>
      <c r="R83" s="18"/>
      <c r="S83" s="18"/>
      <c r="AH83" s="28"/>
      <c r="AL83" s="28"/>
    </row>
    <row r="84" x14ac:dyDescent="0.25">
      <c r="H84" s="18"/>
      <c r="I84" s="18"/>
      <c r="J84" s="18"/>
      <c r="R84" s="18"/>
      <c r="S84" s="18"/>
      <c r="AH84" s="28"/>
      <c r="AL84" s="28"/>
    </row>
    <row r="85" x14ac:dyDescent="0.25">
      <c r="H85" s="18"/>
      <c r="I85" s="18"/>
      <c r="J85" s="18"/>
      <c r="R85" s="18"/>
      <c r="S85" s="18"/>
      <c r="AH85" s="28"/>
      <c r="AL85" s="28"/>
    </row>
    <row r="86" x14ac:dyDescent="0.25">
      <c r="H86" s="18"/>
      <c r="I86" s="18"/>
      <c r="J86" s="18"/>
      <c r="R86" s="18"/>
      <c r="S86" s="18"/>
      <c r="AH86" s="28"/>
      <c r="AL86" s="28"/>
    </row>
    <row r="87" x14ac:dyDescent="0.25">
      <c r="H87" s="18"/>
      <c r="I87" s="18"/>
      <c r="J87" s="18"/>
      <c r="R87" s="18"/>
      <c r="S87" s="18"/>
      <c r="AH87" s="28"/>
      <c r="AL87" s="28"/>
    </row>
    <row r="88" x14ac:dyDescent="0.25">
      <c r="H88" s="18"/>
      <c r="I88" s="18"/>
      <c r="J88" s="18"/>
      <c r="R88" s="18"/>
      <c r="S88" s="18"/>
      <c r="AH88" s="28"/>
      <c r="AL88" s="28"/>
    </row>
    <row r="89" x14ac:dyDescent="0.25">
      <c r="H89" s="18"/>
      <c r="I89" s="18"/>
      <c r="J89" s="18"/>
      <c r="R89" s="18"/>
      <c r="S89" s="18"/>
      <c r="AH89" s="28"/>
      <c r="AL89" s="28"/>
    </row>
    <row r="90" x14ac:dyDescent="0.25">
      <c r="H90" s="18"/>
      <c r="I90" s="18"/>
      <c r="J90" s="18"/>
      <c r="R90" s="18"/>
      <c r="S90" s="18"/>
      <c r="AH90" s="28"/>
      <c r="AL90" s="28"/>
    </row>
    <row r="91" x14ac:dyDescent="0.25">
      <c r="H91" s="18"/>
      <c r="I91" s="18"/>
      <c r="J91" s="18"/>
      <c r="R91" s="18"/>
      <c r="S91" s="18"/>
      <c r="AH91" s="28"/>
      <c r="AL91" s="28"/>
    </row>
    <row r="92" x14ac:dyDescent="0.25">
      <c r="H92" s="18"/>
      <c r="I92" s="18"/>
      <c r="J92" s="18"/>
      <c r="R92" s="18"/>
      <c r="S92" s="18"/>
      <c r="AH92" s="28"/>
      <c r="AL92" s="28"/>
    </row>
    <row r="93" x14ac:dyDescent="0.25">
      <c r="H93" s="18"/>
      <c r="I93" s="18"/>
      <c r="J93" s="18"/>
      <c r="R93" s="18"/>
      <c r="S93" s="18"/>
      <c r="AH93" s="28"/>
      <c r="AL93" s="28"/>
    </row>
    <row r="94" x14ac:dyDescent="0.25">
      <c r="H94" s="18"/>
      <c r="I94" s="18"/>
      <c r="J94" s="18"/>
      <c r="R94" s="18"/>
      <c r="S94" s="18"/>
      <c r="AH94" s="28"/>
      <c r="AL94" s="28"/>
    </row>
    <row r="95" x14ac:dyDescent="0.25">
      <c r="H95" s="18"/>
      <c r="I95" s="18"/>
      <c r="J95" s="18"/>
      <c r="R95" s="18"/>
      <c r="S95" s="18"/>
      <c r="AH95" s="28"/>
      <c r="AL95" s="28"/>
    </row>
    <row r="96" x14ac:dyDescent="0.25">
      <c r="H96" s="18"/>
      <c r="I96" s="18"/>
      <c r="J96" s="18"/>
      <c r="R96" s="18"/>
      <c r="S96" s="18"/>
      <c r="AH96" s="28"/>
      <c r="AL96" s="28"/>
    </row>
    <row r="97" x14ac:dyDescent="0.25">
      <c r="H97" s="18"/>
      <c r="I97" s="18"/>
      <c r="J97" s="18"/>
      <c r="R97" s="18"/>
      <c r="S97" s="18"/>
      <c r="AH97" s="28"/>
      <c r="AL97" s="28"/>
    </row>
    <row r="98" x14ac:dyDescent="0.25">
      <c r="H98" s="18"/>
      <c r="I98" s="18"/>
      <c r="J98" s="18"/>
      <c r="R98" s="18"/>
      <c r="S98" s="18"/>
      <c r="AH98" s="28"/>
      <c r="AL98" s="28"/>
    </row>
    <row r="99" x14ac:dyDescent="0.25">
      <c r="H99" s="18"/>
      <c r="I99" s="18"/>
      <c r="J99" s="18"/>
      <c r="R99" s="18"/>
      <c r="S99" s="18"/>
      <c r="AH99" s="28"/>
      <c r="AL99" s="28"/>
    </row>
    <row r="100" x14ac:dyDescent="0.25">
      <c r="H100" s="18"/>
      <c r="I100" s="18"/>
      <c r="J100" s="18"/>
      <c r="R100" s="18"/>
      <c r="S100" s="18"/>
      <c r="AH100" s="28"/>
      <c r="AL100" s="28"/>
    </row>
    <row r="101" x14ac:dyDescent="0.25">
      <c r="H101" s="18"/>
      <c r="I101" s="18"/>
      <c r="J101" s="18"/>
      <c r="R101" s="18"/>
      <c r="S101" s="18"/>
      <c r="AH101" s="28"/>
      <c r="AL101" s="28"/>
    </row>
    <row r="102" x14ac:dyDescent="0.25">
      <c r="H102" s="18"/>
      <c r="I102" s="18"/>
      <c r="J102" s="18"/>
      <c r="R102" s="18"/>
      <c r="S102" s="18"/>
      <c r="AH102" s="28"/>
      <c r="AL102" s="28"/>
    </row>
    <row r="103" x14ac:dyDescent="0.25">
      <c r="H103" s="18"/>
      <c r="I103" s="18"/>
      <c r="J103" s="18"/>
      <c r="R103" s="18"/>
      <c r="S103" s="18"/>
      <c r="AH103" s="28"/>
      <c r="AL103" s="28"/>
    </row>
    <row r="104" x14ac:dyDescent="0.25">
      <c r="H104" s="18"/>
      <c r="I104" s="18"/>
      <c r="J104" s="18"/>
      <c r="R104" s="18"/>
      <c r="S104" s="18"/>
      <c r="AH104" s="28"/>
      <c r="AL104" s="28"/>
    </row>
    <row r="105" x14ac:dyDescent="0.25">
      <c r="H105" s="18"/>
      <c r="I105" s="18"/>
      <c r="J105" s="18"/>
      <c r="R105" s="18"/>
      <c r="S105" s="18"/>
      <c r="AH105" s="28"/>
      <c r="AL105" s="28"/>
    </row>
    <row r="106" x14ac:dyDescent="0.25">
      <c r="H106" s="18"/>
      <c r="I106" s="18"/>
      <c r="J106" s="18"/>
      <c r="R106" s="18"/>
      <c r="S106" s="18"/>
      <c r="AH106" s="28"/>
      <c r="AL106" s="28"/>
    </row>
    <row r="107" x14ac:dyDescent="0.25">
      <c r="H107" s="18"/>
      <c r="I107" s="18"/>
      <c r="J107" s="18"/>
      <c r="R107" s="18"/>
      <c r="S107" s="18"/>
      <c r="AH107" s="28"/>
      <c r="AL107" s="28"/>
    </row>
    <row r="108" x14ac:dyDescent="0.25">
      <c r="H108" s="18"/>
      <c r="I108" s="18"/>
      <c r="J108" s="18"/>
      <c r="R108" s="18"/>
      <c r="S108" s="18"/>
      <c r="AH108" s="28"/>
      <c r="AL108" s="28"/>
    </row>
    <row r="109" x14ac:dyDescent="0.25">
      <c r="H109" s="18"/>
      <c r="I109" s="18"/>
      <c r="J109" s="18"/>
      <c r="R109" s="18"/>
      <c r="S109" s="18"/>
      <c r="AH109" s="28"/>
      <c r="AL109" s="28"/>
    </row>
    <row r="110" x14ac:dyDescent="0.25">
      <c r="H110" s="18"/>
      <c r="I110" s="18"/>
      <c r="J110" s="18"/>
      <c r="R110" s="18"/>
      <c r="S110" s="18"/>
      <c r="AH110" s="28"/>
      <c r="AL110" s="28"/>
    </row>
    <row r="111" x14ac:dyDescent="0.25">
      <c r="H111" s="18"/>
      <c r="I111" s="18"/>
      <c r="J111" s="18"/>
      <c r="R111" s="18"/>
      <c r="S111" s="18"/>
      <c r="AH111" s="28"/>
      <c r="AL111" s="28"/>
    </row>
    <row r="112" x14ac:dyDescent="0.25">
      <c r="H112" s="18"/>
      <c r="I112" s="18"/>
      <c r="J112" s="18"/>
      <c r="R112" s="18"/>
      <c r="S112" s="18"/>
      <c r="AH112" s="28"/>
      <c r="AL112" s="28"/>
    </row>
    <row r="113" x14ac:dyDescent="0.25">
      <c r="H113" s="18"/>
      <c r="I113" s="18"/>
      <c r="J113" s="18"/>
      <c r="R113" s="18"/>
      <c r="S113" s="18"/>
      <c r="AH113" s="28"/>
      <c r="AL113" s="28"/>
    </row>
    <row r="114" x14ac:dyDescent="0.25">
      <c r="H114" s="18"/>
      <c r="I114" s="18"/>
      <c r="J114" s="18"/>
      <c r="R114" s="18"/>
      <c r="S114" s="18"/>
      <c r="AH114" s="28"/>
      <c r="AL114" s="28"/>
    </row>
    <row r="115" x14ac:dyDescent="0.25">
      <c r="H115" s="18"/>
      <c r="I115" s="18"/>
      <c r="J115" s="18"/>
      <c r="R115" s="18"/>
      <c r="S115" s="18"/>
      <c r="AH115" s="28"/>
      <c r="AL115" s="28"/>
    </row>
    <row r="116" x14ac:dyDescent="0.25">
      <c r="H116" s="18"/>
      <c r="I116" s="18"/>
      <c r="J116" s="18"/>
      <c r="R116" s="18"/>
      <c r="S116" s="18"/>
      <c r="AH116" s="28"/>
      <c r="AL116" s="28"/>
    </row>
    <row r="117" x14ac:dyDescent="0.25">
      <c r="H117" s="18"/>
      <c r="I117" s="18"/>
      <c r="J117" s="18"/>
      <c r="R117" s="18"/>
      <c r="S117" s="18"/>
      <c r="AH117" s="28"/>
      <c r="AL117" s="28"/>
    </row>
    <row r="118" x14ac:dyDescent="0.25">
      <c r="H118" s="18"/>
      <c r="I118" s="18"/>
      <c r="J118" s="18"/>
      <c r="R118" s="18"/>
      <c r="S118" s="18"/>
      <c r="AH118" s="28"/>
      <c r="AL118" s="28"/>
    </row>
    <row r="119" x14ac:dyDescent="0.25">
      <c r="H119" s="18"/>
      <c r="I119" s="18"/>
      <c r="J119" s="18"/>
      <c r="R119" s="18"/>
      <c r="S119" s="18"/>
      <c r="AH119" s="28"/>
      <c r="AL119" s="28"/>
    </row>
    <row r="120" x14ac:dyDescent="0.25">
      <c r="H120" s="18"/>
      <c r="I120" s="18"/>
      <c r="J120" s="18"/>
      <c r="R120" s="18"/>
      <c r="S120" s="18"/>
      <c r="AH120" s="28"/>
      <c r="AL120" s="28"/>
    </row>
    <row r="121" x14ac:dyDescent="0.25">
      <c r="H121" s="18"/>
      <c r="I121" s="18"/>
      <c r="J121" s="18"/>
      <c r="R121" s="18"/>
      <c r="S121" s="18"/>
      <c r="AH121" s="28"/>
      <c r="AL121" s="28"/>
    </row>
    <row r="122" x14ac:dyDescent="0.25">
      <c r="H122" s="18"/>
      <c r="I122" s="18"/>
      <c r="J122" s="18"/>
      <c r="R122" s="18"/>
      <c r="S122" s="18"/>
      <c r="AH122" s="28"/>
      <c r="AL122" s="28"/>
    </row>
    <row r="123" x14ac:dyDescent="0.25">
      <c r="H123" s="18"/>
      <c r="I123" s="18"/>
      <c r="J123" s="18"/>
      <c r="R123" s="18"/>
      <c r="S123" s="18"/>
      <c r="AH123" s="28"/>
      <c r="AL123" s="28"/>
    </row>
    <row r="124" x14ac:dyDescent="0.25">
      <c r="H124" s="18"/>
      <c r="I124" s="18"/>
      <c r="J124" s="18"/>
      <c r="R124" s="18"/>
      <c r="S124" s="18"/>
      <c r="AH124" s="28"/>
      <c r="AL124" s="28"/>
    </row>
    <row r="125" x14ac:dyDescent="0.25">
      <c r="H125" s="18"/>
      <c r="I125" s="18"/>
      <c r="J125" s="18"/>
      <c r="R125" s="18"/>
      <c r="S125" s="18"/>
      <c r="AH125" s="28"/>
      <c r="AL125" s="28"/>
    </row>
    <row r="126" x14ac:dyDescent="0.25">
      <c r="H126" s="18"/>
      <c r="I126" s="18"/>
      <c r="J126" s="18"/>
      <c r="R126" s="18"/>
      <c r="S126" s="18"/>
      <c r="AH126" s="28"/>
      <c r="AL126" s="28"/>
    </row>
    <row r="127" x14ac:dyDescent="0.25">
      <c r="H127" s="18"/>
      <c r="I127" s="18"/>
      <c r="J127" s="18"/>
      <c r="R127" s="18"/>
      <c r="S127" s="18"/>
      <c r="AH127" s="28"/>
      <c r="AL127" s="28"/>
    </row>
    <row r="128" x14ac:dyDescent="0.25">
      <c r="H128" s="18"/>
      <c r="I128" s="18"/>
      <c r="J128" s="18"/>
      <c r="R128" s="18"/>
      <c r="S128" s="18"/>
      <c r="AH128" s="28"/>
      <c r="AL128" s="28"/>
    </row>
    <row r="129" x14ac:dyDescent="0.25">
      <c r="H129" s="18"/>
      <c r="I129" s="18"/>
      <c r="J129" s="18"/>
      <c r="R129" s="18"/>
      <c r="S129" s="18"/>
      <c r="AH129" s="28"/>
      <c r="AL129" s="28"/>
    </row>
    <row r="130" x14ac:dyDescent="0.25">
      <c r="H130" s="18"/>
      <c r="I130" s="18"/>
      <c r="J130" s="18"/>
      <c r="R130" s="18"/>
      <c r="S130" s="18"/>
      <c r="AH130" s="28"/>
      <c r="AL130" s="28"/>
    </row>
    <row r="131" x14ac:dyDescent="0.25">
      <c r="H131" s="18"/>
      <c r="I131" s="18"/>
      <c r="J131" s="18"/>
      <c r="R131" s="18"/>
      <c r="S131" s="18"/>
      <c r="AH131" s="28"/>
      <c r="AL131" s="28"/>
    </row>
    <row r="132" x14ac:dyDescent="0.25">
      <c r="H132" s="18"/>
      <c r="I132" s="18"/>
      <c r="J132" s="18"/>
      <c r="R132" s="18"/>
      <c r="S132" s="18"/>
      <c r="AH132" s="28"/>
      <c r="AL132" s="28"/>
    </row>
    <row r="133" x14ac:dyDescent="0.25">
      <c r="H133" s="18"/>
      <c r="I133" s="18"/>
      <c r="J133" s="18"/>
      <c r="R133" s="18"/>
      <c r="S133" s="18"/>
      <c r="AH133" s="28"/>
      <c r="AL133" s="28"/>
    </row>
    <row r="134" x14ac:dyDescent="0.25">
      <c r="H134" s="18"/>
      <c r="I134" s="18"/>
      <c r="J134" s="18"/>
      <c r="R134" s="18"/>
      <c r="S134" s="18"/>
      <c r="AH134" s="28"/>
      <c r="AL134" s="28"/>
    </row>
    <row r="135" x14ac:dyDescent="0.25">
      <c r="H135" s="18"/>
      <c r="I135" s="18"/>
      <c r="J135" s="18"/>
      <c r="R135" s="18"/>
      <c r="S135" s="18"/>
      <c r="AH135" s="28"/>
      <c r="AL135" s="28"/>
    </row>
    <row r="136" x14ac:dyDescent="0.25">
      <c r="H136" s="18"/>
      <c r="I136" s="18"/>
      <c r="J136" s="18"/>
      <c r="R136" s="18"/>
      <c r="S136" s="18"/>
      <c r="AH136" s="28"/>
      <c r="AL136" s="28"/>
    </row>
    <row r="137" x14ac:dyDescent="0.25">
      <c r="H137" s="18"/>
      <c r="I137" s="18"/>
      <c r="J137" s="18"/>
      <c r="R137" s="18"/>
      <c r="S137" s="18"/>
      <c r="AH137" s="28"/>
      <c r="AL137" s="28"/>
    </row>
    <row r="138" x14ac:dyDescent="0.25">
      <c r="H138" s="18"/>
      <c r="I138" s="18"/>
      <c r="J138" s="18"/>
      <c r="R138" s="18"/>
      <c r="S138" s="18"/>
      <c r="AH138" s="28"/>
      <c r="AL138" s="28"/>
    </row>
    <row r="139" x14ac:dyDescent="0.25">
      <c r="H139" s="18"/>
      <c r="I139" s="18"/>
      <c r="J139" s="18"/>
      <c r="R139" s="18"/>
      <c r="S139" s="18"/>
      <c r="AH139" s="28"/>
      <c r="AL139" s="28"/>
    </row>
    <row r="140" x14ac:dyDescent="0.25">
      <c r="H140" s="18"/>
      <c r="I140" s="18"/>
      <c r="J140" s="18"/>
      <c r="R140" s="18"/>
      <c r="S140" s="18"/>
      <c r="AH140" s="28"/>
      <c r="AL140" s="28"/>
    </row>
    <row r="141" x14ac:dyDescent="0.25">
      <c r="H141" s="18"/>
      <c r="I141" s="18"/>
      <c r="J141" s="18"/>
      <c r="R141" s="18"/>
      <c r="S141" s="18"/>
      <c r="AH141" s="28"/>
      <c r="AL141" s="28"/>
    </row>
    <row r="142" x14ac:dyDescent="0.25">
      <c r="H142" s="18"/>
      <c r="I142" s="18"/>
      <c r="J142" s="18"/>
      <c r="R142" s="18"/>
      <c r="S142" s="18"/>
      <c r="AH142" s="28"/>
      <c r="AL142" s="28"/>
    </row>
    <row r="143" x14ac:dyDescent="0.25">
      <c r="H143" s="18"/>
      <c r="I143" s="18"/>
      <c r="J143" s="18"/>
      <c r="R143" s="18"/>
      <c r="S143" s="18"/>
      <c r="AH143" s="28"/>
      <c r="AL143" s="28"/>
    </row>
    <row r="144" x14ac:dyDescent="0.25">
      <c r="H144" s="18"/>
      <c r="I144" s="18"/>
      <c r="J144" s="18"/>
      <c r="R144" s="18"/>
      <c r="S144" s="18"/>
      <c r="AH144" s="28"/>
      <c r="AL144" s="28"/>
    </row>
    <row r="145" x14ac:dyDescent="0.25">
      <c r="H145" s="18"/>
      <c r="I145" s="18"/>
      <c r="J145" s="18"/>
      <c r="R145" s="18"/>
      <c r="S145" s="18"/>
      <c r="AH145" s="28"/>
      <c r="AL145" s="28"/>
    </row>
    <row r="146" x14ac:dyDescent="0.25">
      <c r="H146" s="18"/>
      <c r="I146" s="18"/>
      <c r="J146" s="18"/>
      <c r="R146" s="18"/>
      <c r="S146" s="18"/>
      <c r="AH146" s="28"/>
      <c r="AL146" s="28"/>
    </row>
    <row r="147" x14ac:dyDescent="0.25">
      <c r="H147" s="18"/>
      <c r="I147" s="18"/>
      <c r="J147" s="18"/>
      <c r="R147" s="18"/>
      <c r="S147" s="18"/>
      <c r="AH147" s="28"/>
      <c r="AL147" s="28"/>
    </row>
    <row r="148" x14ac:dyDescent="0.25">
      <c r="H148" s="18"/>
      <c r="I148" s="18"/>
      <c r="J148" s="18"/>
      <c r="R148" s="18"/>
      <c r="S148" s="18"/>
      <c r="AH148" s="28"/>
      <c r="AL148" s="28"/>
    </row>
    <row r="149" x14ac:dyDescent="0.25">
      <c r="H149" s="18"/>
      <c r="I149" s="18"/>
      <c r="J149" s="18"/>
      <c r="R149" s="18"/>
      <c r="S149" s="18"/>
      <c r="AH149" s="28"/>
      <c r="AL149" s="28"/>
    </row>
    <row r="150" x14ac:dyDescent="0.25">
      <c r="H150" s="18"/>
      <c r="I150" s="18"/>
      <c r="J150" s="18"/>
      <c r="R150" s="18"/>
      <c r="S150" s="18"/>
      <c r="AH150" s="28"/>
      <c r="AL150" s="28"/>
    </row>
    <row r="151" x14ac:dyDescent="0.25">
      <c r="H151" s="18"/>
      <c r="I151" s="18"/>
      <c r="J151" s="18"/>
      <c r="R151" s="18"/>
      <c r="S151" s="18"/>
      <c r="AH151" s="28"/>
      <c r="AL151" s="28"/>
    </row>
    <row r="152" x14ac:dyDescent="0.25">
      <c r="H152" s="18"/>
      <c r="I152" s="18"/>
      <c r="J152" s="18"/>
      <c r="R152" s="18"/>
      <c r="S152" s="18"/>
      <c r="AH152" s="28"/>
      <c r="AL152" s="28"/>
    </row>
    <row r="153" x14ac:dyDescent="0.25">
      <c r="H153" s="18"/>
      <c r="I153" s="18"/>
      <c r="J153" s="18"/>
      <c r="R153" s="18"/>
      <c r="S153" s="18"/>
      <c r="AH153" s="28"/>
      <c r="AL153" s="28"/>
    </row>
    <row r="154" x14ac:dyDescent="0.25">
      <c r="H154" s="18"/>
      <c r="I154" s="18"/>
      <c r="J154" s="18"/>
      <c r="R154" s="18"/>
      <c r="S154" s="18"/>
      <c r="AH154" s="28"/>
      <c r="AL154" s="28"/>
    </row>
    <row r="155" x14ac:dyDescent="0.25">
      <c r="H155" s="18"/>
      <c r="I155" s="18"/>
      <c r="J155" s="18"/>
      <c r="R155" s="18"/>
      <c r="S155" s="18"/>
      <c r="AH155" s="28"/>
      <c r="AL155" s="28"/>
    </row>
    <row r="156" x14ac:dyDescent="0.25">
      <c r="H156" s="18"/>
      <c r="I156" s="18"/>
      <c r="J156" s="18"/>
      <c r="R156" s="18"/>
      <c r="S156" s="18"/>
      <c r="AH156" s="28"/>
      <c r="AL156" s="28"/>
    </row>
    <row r="157" x14ac:dyDescent="0.25">
      <c r="H157" s="18"/>
      <c r="I157" s="18"/>
      <c r="J157" s="18"/>
      <c r="R157" s="18"/>
      <c r="S157" s="18"/>
      <c r="AH157" s="28"/>
      <c r="AL157" s="28"/>
    </row>
    <row r="158" x14ac:dyDescent="0.25">
      <c r="H158" s="18"/>
      <c r="I158" s="18"/>
      <c r="J158" s="18"/>
      <c r="R158" s="18"/>
      <c r="S158" s="18"/>
      <c r="AH158" s="28"/>
      <c r="AL158" s="28"/>
    </row>
    <row r="159" x14ac:dyDescent="0.25">
      <c r="H159" s="18"/>
      <c r="I159" s="18"/>
      <c r="J159" s="18"/>
      <c r="R159" s="18"/>
      <c r="S159" s="18"/>
      <c r="AH159" s="28"/>
      <c r="AL159" s="28"/>
    </row>
    <row r="160" x14ac:dyDescent="0.25">
      <c r="H160" s="18"/>
      <c r="I160" s="18"/>
      <c r="J160" s="18"/>
      <c r="R160" s="18"/>
      <c r="S160" s="18"/>
      <c r="AH160" s="28"/>
      <c r="AL160" s="28"/>
    </row>
    <row r="161" x14ac:dyDescent="0.25">
      <c r="H161" s="18"/>
      <c r="I161" s="18"/>
      <c r="J161" s="18"/>
      <c r="R161" s="18"/>
      <c r="S161" s="18"/>
      <c r="AH161" s="28"/>
      <c r="AL161" s="28"/>
    </row>
    <row r="162" x14ac:dyDescent="0.25">
      <c r="H162" s="18"/>
      <c r="I162" s="18"/>
      <c r="J162" s="18"/>
      <c r="R162" s="18"/>
      <c r="S162" s="18"/>
      <c r="AH162" s="28"/>
      <c r="AL162" s="28"/>
    </row>
    <row r="163" x14ac:dyDescent="0.25">
      <c r="H163" s="18"/>
      <c r="I163" s="18"/>
      <c r="J163" s="18"/>
      <c r="R163" s="18"/>
      <c r="S163" s="18"/>
      <c r="AH163" s="28"/>
      <c r="AL163" s="28"/>
    </row>
    <row r="164" x14ac:dyDescent="0.25">
      <c r="H164" s="18"/>
      <c r="I164" s="18"/>
      <c r="J164" s="18"/>
      <c r="R164" s="18"/>
      <c r="S164" s="18"/>
      <c r="AH164" s="28"/>
      <c r="AL164" s="28"/>
    </row>
    <row r="165" x14ac:dyDescent="0.25">
      <c r="H165" s="18"/>
      <c r="I165" s="18"/>
      <c r="J165" s="18"/>
      <c r="R165" s="18"/>
      <c r="S165" s="18"/>
      <c r="AH165" s="28"/>
      <c r="AL165" s="28"/>
    </row>
    <row r="166" x14ac:dyDescent="0.25">
      <c r="H166" s="18"/>
      <c r="I166" s="18"/>
      <c r="J166" s="18"/>
      <c r="R166" s="18"/>
      <c r="S166" s="18"/>
      <c r="AH166" s="28"/>
      <c r="AL166" s="28"/>
    </row>
    <row r="167" x14ac:dyDescent="0.25">
      <c r="H167" s="18"/>
      <c r="I167" s="18"/>
      <c r="J167" s="18"/>
      <c r="R167" s="18"/>
      <c r="S167" s="18"/>
      <c r="AH167" s="28"/>
      <c r="AL167" s="28"/>
    </row>
    <row r="168" x14ac:dyDescent="0.25">
      <c r="H168" s="18"/>
      <c r="I168" s="18"/>
      <c r="J168" s="18"/>
      <c r="R168" s="18"/>
      <c r="S168" s="18"/>
      <c r="AH168" s="28"/>
      <c r="AL168" s="28"/>
    </row>
    <row r="169" x14ac:dyDescent="0.25">
      <c r="H169" s="18"/>
      <c r="I169" s="18"/>
      <c r="J169" s="18"/>
      <c r="R169" s="18"/>
      <c r="S169" s="18"/>
      <c r="AH169" s="28"/>
      <c r="AL169" s="28"/>
    </row>
    <row r="170" x14ac:dyDescent="0.25">
      <c r="H170" s="18"/>
      <c r="I170" s="18"/>
      <c r="J170" s="18"/>
      <c r="R170" s="18"/>
      <c r="S170" s="18"/>
      <c r="AH170" s="28"/>
      <c r="AL170" s="28"/>
    </row>
    <row r="171" x14ac:dyDescent="0.25">
      <c r="H171" s="18"/>
      <c r="I171" s="18"/>
      <c r="J171" s="18"/>
      <c r="R171" s="18"/>
      <c r="S171" s="18"/>
      <c r="AH171" s="28"/>
      <c r="AL171" s="28"/>
    </row>
    <row r="172" x14ac:dyDescent="0.25">
      <c r="H172" s="18"/>
      <c r="I172" s="18"/>
      <c r="J172" s="18"/>
      <c r="R172" s="18"/>
      <c r="S172" s="18"/>
      <c r="AH172" s="28"/>
      <c r="AL172" s="28"/>
    </row>
    <row r="173" x14ac:dyDescent="0.25">
      <c r="H173" s="18"/>
      <c r="I173" s="18"/>
      <c r="J173" s="18"/>
      <c r="R173" s="18"/>
      <c r="S173" s="18"/>
      <c r="AH173" s="28"/>
      <c r="AL173" s="28"/>
    </row>
    <row r="174" x14ac:dyDescent="0.25">
      <c r="H174" s="18"/>
      <c r="I174" s="18"/>
      <c r="J174" s="18"/>
      <c r="R174" s="18"/>
      <c r="S174" s="18"/>
      <c r="AH174" s="28"/>
      <c r="AL174" s="28"/>
    </row>
    <row r="175" x14ac:dyDescent="0.25">
      <c r="H175" s="18"/>
      <c r="I175" s="18"/>
      <c r="J175" s="18"/>
      <c r="R175" s="18"/>
      <c r="S175" s="18"/>
      <c r="AH175" s="28"/>
      <c r="AL175" s="28"/>
    </row>
    <row r="176" x14ac:dyDescent="0.25">
      <c r="H176" s="18"/>
      <c r="I176" s="18"/>
      <c r="J176" s="18"/>
      <c r="R176" s="18"/>
      <c r="S176" s="18"/>
      <c r="AH176" s="28"/>
      <c r="AL176" s="28"/>
    </row>
    <row r="177" x14ac:dyDescent="0.25">
      <c r="H177" s="18"/>
      <c r="I177" s="18"/>
      <c r="J177" s="18"/>
      <c r="R177" s="18"/>
      <c r="S177" s="18"/>
      <c r="AH177" s="28"/>
      <c r="AL177" s="28"/>
    </row>
    <row r="178" x14ac:dyDescent="0.25">
      <c r="H178" s="18"/>
      <c r="I178" s="18"/>
      <c r="J178" s="18"/>
      <c r="R178" s="18"/>
      <c r="S178" s="18"/>
      <c r="AH178" s="28"/>
      <c r="AL178" s="28"/>
    </row>
    <row r="179" x14ac:dyDescent="0.25">
      <c r="H179" s="18"/>
      <c r="I179" s="18"/>
      <c r="J179" s="18"/>
      <c r="R179" s="18"/>
      <c r="S179" s="18"/>
      <c r="AH179" s="28"/>
      <c r="AL179" s="28"/>
    </row>
    <row r="180" x14ac:dyDescent="0.25">
      <c r="H180" s="18"/>
      <c r="I180" s="18"/>
      <c r="J180" s="18"/>
      <c r="R180" s="18"/>
      <c r="S180" s="18"/>
      <c r="AH180" s="28"/>
      <c r="AL180" s="28"/>
    </row>
    <row r="181" x14ac:dyDescent="0.25">
      <c r="H181" s="18"/>
      <c r="I181" s="18"/>
      <c r="J181" s="18"/>
      <c r="R181" s="18"/>
      <c r="S181" s="18"/>
      <c r="AH181" s="28"/>
      <c r="AL181" s="28"/>
    </row>
    <row r="182" x14ac:dyDescent="0.25">
      <c r="H182" s="18"/>
      <c r="I182" s="18"/>
      <c r="J182" s="18"/>
      <c r="R182" s="18"/>
      <c r="S182" s="18"/>
      <c r="AH182" s="28"/>
      <c r="AL182" s="28"/>
    </row>
    <row r="183" x14ac:dyDescent="0.25">
      <c r="H183" s="18"/>
      <c r="I183" s="18"/>
      <c r="J183" s="18"/>
      <c r="R183" s="18"/>
      <c r="S183" s="18"/>
      <c r="AH183" s="28"/>
      <c r="AL183" s="28"/>
    </row>
    <row r="184" x14ac:dyDescent="0.25">
      <c r="H184" s="18"/>
      <c r="I184" s="18"/>
      <c r="J184" s="18"/>
      <c r="R184" s="18"/>
      <c r="S184" s="18"/>
      <c r="AH184" s="28"/>
      <c r="AL184" s="28"/>
    </row>
    <row r="185" x14ac:dyDescent="0.25">
      <c r="H185" s="18"/>
      <c r="I185" s="18"/>
      <c r="J185" s="18"/>
      <c r="R185" s="18"/>
      <c r="S185" s="18"/>
      <c r="AH185" s="28"/>
      <c r="AL185" s="28"/>
    </row>
    <row r="186" x14ac:dyDescent="0.25">
      <c r="H186" s="18"/>
      <c r="I186" s="18"/>
      <c r="J186" s="18"/>
      <c r="R186" s="18"/>
      <c r="S186" s="18"/>
      <c r="AH186" s="28"/>
      <c r="AL186" s="28"/>
    </row>
    <row r="187" x14ac:dyDescent="0.25">
      <c r="H187" s="18"/>
      <c r="I187" s="18"/>
      <c r="J187" s="18"/>
      <c r="R187" s="18"/>
      <c r="S187" s="18"/>
      <c r="AH187" s="28"/>
      <c r="AL187" s="28"/>
    </row>
    <row r="188" x14ac:dyDescent="0.25">
      <c r="H188" s="18"/>
      <c r="I188" s="18"/>
      <c r="J188" s="18"/>
      <c r="R188" s="18"/>
      <c r="S188" s="18"/>
      <c r="AH188" s="28"/>
      <c r="AL188" s="28"/>
    </row>
    <row r="189" x14ac:dyDescent="0.25">
      <c r="H189" s="18"/>
      <c r="I189" s="18"/>
      <c r="J189" s="18"/>
      <c r="R189" s="18"/>
      <c r="S189" s="18"/>
      <c r="AH189" s="28"/>
      <c r="AL189" s="28"/>
    </row>
    <row r="190" x14ac:dyDescent="0.25">
      <c r="H190" s="18"/>
      <c r="I190" s="18"/>
      <c r="J190" s="18"/>
      <c r="R190" s="18"/>
      <c r="S190" s="18"/>
      <c r="AH190" s="28"/>
      <c r="AL190" s="28"/>
    </row>
    <row r="191" x14ac:dyDescent="0.25">
      <c r="H191" s="18"/>
      <c r="I191" s="18"/>
      <c r="J191" s="18"/>
      <c r="R191" s="18"/>
      <c r="S191" s="18"/>
      <c r="AH191" s="28"/>
      <c r="AL191" s="28"/>
    </row>
    <row r="192" x14ac:dyDescent="0.25">
      <c r="H192" s="18"/>
      <c r="I192" s="18"/>
      <c r="J192" s="18"/>
      <c r="R192" s="18"/>
      <c r="S192" s="18"/>
      <c r="AH192" s="28"/>
      <c r="AL192" s="28"/>
    </row>
    <row r="193" x14ac:dyDescent="0.25">
      <c r="H193" s="18"/>
      <c r="I193" s="18"/>
      <c r="J193" s="18"/>
      <c r="R193" s="18"/>
      <c r="S193" s="18"/>
      <c r="AH193" s="28"/>
      <c r="AL193" s="28"/>
    </row>
    <row r="194" x14ac:dyDescent="0.25">
      <c r="H194" s="18"/>
      <c r="I194" s="18"/>
      <c r="J194" s="18"/>
      <c r="R194" s="18"/>
      <c r="S194" s="18"/>
      <c r="AH194" s="28"/>
      <c r="AL194" s="28"/>
    </row>
    <row r="195" x14ac:dyDescent="0.25">
      <c r="H195" s="18"/>
      <c r="I195" s="18"/>
      <c r="J195" s="18"/>
      <c r="R195" s="18"/>
      <c r="S195" s="18"/>
      <c r="AH195" s="28"/>
      <c r="AL195" s="28"/>
    </row>
    <row r="196" x14ac:dyDescent="0.25">
      <c r="H196" s="18"/>
      <c r="I196" s="18"/>
      <c r="J196" s="18"/>
      <c r="R196" s="18"/>
      <c r="S196" s="18"/>
      <c r="AH196" s="28"/>
      <c r="AL196" s="28"/>
    </row>
    <row r="197" x14ac:dyDescent="0.25">
      <c r="H197" s="18"/>
      <c r="I197" s="18"/>
      <c r="J197" s="18"/>
      <c r="R197" s="18"/>
      <c r="S197" s="18"/>
      <c r="AH197" s="28"/>
      <c r="AL197" s="28"/>
    </row>
    <row r="198" x14ac:dyDescent="0.25">
      <c r="H198" s="18"/>
      <c r="I198" s="18"/>
      <c r="J198" s="18"/>
      <c r="R198" s="18"/>
      <c r="S198" s="18"/>
      <c r="AH198" s="28"/>
      <c r="AL198" s="28"/>
    </row>
    <row r="199" x14ac:dyDescent="0.25">
      <c r="H199" s="18"/>
      <c r="I199" s="18"/>
      <c r="J199" s="18"/>
      <c r="R199" s="18"/>
      <c r="S199" s="18"/>
      <c r="AH199" s="28"/>
      <c r="AL199" s="28"/>
    </row>
    <row r="200" x14ac:dyDescent="0.25">
      <c r="H200" s="18"/>
      <c r="I200" s="18"/>
      <c r="J200" s="18"/>
      <c r="R200" s="18"/>
      <c r="S200" s="18"/>
      <c r="AH200" s="28"/>
      <c r="AL200" s="28"/>
    </row>
    <row r="201" x14ac:dyDescent="0.25">
      <c r="H201" s="18"/>
      <c r="I201" s="18"/>
      <c r="J201" s="18"/>
      <c r="R201" s="18"/>
      <c r="S201" s="18"/>
      <c r="AH201" s="28"/>
      <c r="AL201" s="28"/>
    </row>
    <row r="202" x14ac:dyDescent="0.25">
      <c r="H202" s="18"/>
      <c r="I202" s="18"/>
      <c r="J202" s="18"/>
      <c r="R202" s="18"/>
      <c r="S202" s="18"/>
      <c r="AH202" s="28"/>
      <c r="AL202" s="28"/>
    </row>
    <row r="203" x14ac:dyDescent="0.25">
      <c r="H203" s="18"/>
      <c r="I203" s="18"/>
      <c r="J203" s="18"/>
      <c r="R203" s="18"/>
      <c r="S203" s="18"/>
      <c r="AH203" s="28"/>
      <c r="AL203" s="28"/>
    </row>
    <row r="204" x14ac:dyDescent="0.25">
      <c r="H204" s="18"/>
      <c r="I204" s="18"/>
      <c r="J204" s="18"/>
      <c r="R204" s="18"/>
      <c r="S204" s="18"/>
      <c r="AH204" s="28"/>
      <c r="AL204" s="28"/>
    </row>
    <row r="205" x14ac:dyDescent="0.25">
      <c r="H205" s="18"/>
      <c r="I205" s="18"/>
      <c r="J205" s="18"/>
      <c r="R205" s="18"/>
      <c r="S205" s="18"/>
      <c r="AH205" s="28"/>
      <c r="AL205" s="28"/>
    </row>
    <row r="206" x14ac:dyDescent="0.25">
      <c r="H206" s="18"/>
      <c r="I206" s="18"/>
      <c r="J206" s="18"/>
      <c r="R206" s="18"/>
      <c r="S206" s="18"/>
      <c r="AH206" s="28"/>
      <c r="AL206" s="28"/>
    </row>
    <row r="207" x14ac:dyDescent="0.25">
      <c r="H207" s="18"/>
      <c r="I207" s="18"/>
      <c r="J207" s="18"/>
      <c r="R207" s="18"/>
      <c r="S207" s="18"/>
      <c r="AH207" s="28"/>
      <c r="AL207" s="28"/>
    </row>
    <row r="208" x14ac:dyDescent="0.25">
      <c r="H208" s="18"/>
      <c r="I208" s="18"/>
      <c r="J208" s="18"/>
      <c r="R208" s="18"/>
      <c r="S208" s="18"/>
      <c r="AH208" s="28"/>
      <c r="AL208" s="28"/>
    </row>
    <row r="209" x14ac:dyDescent="0.25">
      <c r="H209" s="18"/>
      <c r="I209" s="18"/>
      <c r="J209" s="18"/>
      <c r="R209" s="18"/>
      <c r="S209" s="18"/>
      <c r="AH209" s="28"/>
      <c r="AL209" s="28"/>
    </row>
    <row r="210" x14ac:dyDescent="0.25">
      <c r="H210" s="18"/>
      <c r="I210" s="18"/>
      <c r="J210" s="18"/>
      <c r="R210" s="18"/>
      <c r="S210" s="18"/>
      <c r="AH210" s="28"/>
      <c r="AL210" s="28"/>
    </row>
    <row r="211" x14ac:dyDescent="0.25">
      <c r="H211" s="18"/>
      <c r="I211" s="18"/>
      <c r="J211" s="18"/>
      <c r="R211" s="18"/>
      <c r="S211" s="18"/>
      <c r="AH211" s="28"/>
      <c r="AL211" s="28"/>
    </row>
    <row r="212" x14ac:dyDescent="0.25">
      <c r="H212" s="18"/>
      <c r="I212" s="18"/>
      <c r="J212" s="18"/>
      <c r="R212" s="18"/>
      <c r="S212" s="18"/>
      <c r="AH212" s="28"/>
      <c r="AL212" s="28"/>
    </row>
    <row r="213" x14ac:dyDescent="0.25">
      <c r="H213" s="18"/>
      <c r="I213" s="18"/>
      <c r="J213" s="18"/>
      <c r="R213" s="18"/>
      <c r="S213" s="18"/>
      <c r="AH213" s="28"/>
      <c r="AL213" s="28"/>
    </row>
    <row r="214" x14ac:dyDescent="0.25">
      <c r="H214" s="18"/>
      <c r="I214" s="18"/>
      <c r="J214" s="18"/>
      <c r="R214" s="18"/>
      <c r="S214" s="18"/>
      <c r="AH214" s="28"/>
      <c r="AL214" s="28"/>
    </row>
    <row r="215" x14ac:dyDescent="0.25">
      <c r="H215" s="18"/>
      <c r="I215" s="18"/>
      <c r="J215" s="18"/>
      <c r="R215" s="18"/>
      <c r="S215" s="18"/>
      <c r="AH215" s="28"/>
      <c r="AL215" s="28"/>
    </row>
    <row r="216" x14ac:dyDescent="0.25">
      <c r="H216" s="18"/>
      <c r="I216" s="18"/>
      <c r="J216" s="18"/>
      <c r="R216" s="18"/>
      <c r="S216" s="18"/>
      <c r="AH216" s="28"/>
      <c r="AL216" s="28"/>
    </row>
    <row r="217" x14ac:dyDescent="0.25">
      <c r="H217" s="18"/>
      <c r="I217" s="18"/>
      <c r="J217" s="18"/>
      <c r="R217" s="18"/>
      <c r="S217" s="18"/>
      <c r="AH217" s="28"/>
      <c r="AL217" s="28"/>
    </row>
    <row r="218" x14ac:dyDescent="0.25">
      <c r="H218" s="18"/>
      <c r="I218" s="18"/>
      <c r="J218" s="18"/>
      <c r="R218" s="18"/>
      <c r="S218" s="18"/>
      <c r="AH218" s="28"/>
      <c r="AL218" s="28"/>
    </row>
    <row r="219" x14ac:dyDescent="0.25">
      <c r="H219" s="18"/>
      <c r="I219" s="18"/>
      <c r="J219" s="18"/>
      <c r="R219" s="18"/>
      <c r="S219" s="18"/>
      <c r="AH219" s="28"/>
      <c r="AL219" s="28"/>
    </row>
    <row r="220" x14ac:dyDescent="0.25">
      <c r="H220" s="18"/>
      <c r="I220" s="18"/>
      <c r="J220" s="18"/>
      <c r="R220" s="18"/>
      <c r="S220" s="18"/>
      <c r="AH220" s="28"/>
      <c r="AL220" s="28"/>
    </row>
    <row r="221" x14ac:dyDescent="0.25">
      <c r="H221" s="18"/>
      <c r="I221" s="18"/>
      <c r="J221" s="18"/>
      <c r="R221" s="18"/>
      <c r="S221" s="18"/>
      <c r="AH221" s="28"/>
      <c r="AL221" s="28"/>
    </row>
    <row r="222" x14ac:dyDescent="0.25">
      <c r="H222" s="18"/>
      <c r="I222" s="18"/>
      <c r="J222" s="18"/>
      <c r="R222" s="18"/>
      <c r="S222" s="18"/>
      <c r="AH222" s="28"/>
      <c r="AL222" s="28"/>
    </row>
    <row r="223" x14ac:dyDescent="0.25">
      <c r="H223" s="18"/>
      <c r="I223" s="18"/>
      <c r="J223" s="18"/>
      <c r="R223" s="18"/>
      <c r="S223" s="18"/>
      <c r="AH223" s="28"/>
      <c r="AL223" s="28"/>
    </row>
    <row r="224" x14ac:dyDescent="0.25">
      <c r="H224" s="18"/>
      <c r="I224" s="18"/>
      <c r="J224" s="18"/>
      <c r="R224" s="18"/>
      <c r="S224" s="18"/>
      <c r="AH224" s="28"/>
      <c r="AL224" s="28"/>
    </row>
    <row r="225" x14ac:dyDescent="0.25">
      <c r="H225" s="18"/>
      <c r="I225" s="18"/>
      <c r="J225" s="18"/>
      <c r="R225" s="18"/>
      <c r="S225" s="18"/>
      <c r="AH225" s="28"/>
      <c r="AL225" s="28"/>
    </row>
    <row r="226" x14ac:dyDescent="0.25">
      <c r="H226" s="18"/>
      <c r="I226" s="18"/>
      <c r="J226" s="18"/>
      <c r="R226" s="18"/>
      <c r="S226" s="18"/>
      <c r="AH226" s="28"/>
      <c r="AL226" s="28"/>
    </row>
    <row r="227" x14ac:dyDescent="0.25">
      <c r="H227" s="18"/>
      <c r="I227" s="18"/>
      <c r="J227" s="18"/>
      <c r="R227" s="18"/>
      <c r="S227" s="18"/>
      <c r="AH227" s="28"/>
      <c r="AL227" s="28"/>
    </row>
    <row r="228" x14ac:dyDescent="0.25">
      <c r="H228" s="18"/>
      <c r="I228" s="18"/>
      <c r="J228" s="18"/>
      <c r="R228" s="18"/>
      <c r="S228" s="18"/>
      <c r="AH228" s="28"/>
      <c r="AL228" s="28"/>
    </row>
    <row r="229" x14ac:dyDescent="0.25">
      <c r="H229" s="18"/>
      <c r="I229" s="18"/>
      <c r="J229" s="18"/>
      <c r="R229" s="18"/>
      <c r="S229" s="18"/>
      <c r="AH229" s="28"/>
      <c r="AL229" s="28"/>
    </row>
    <row r="230" x14ac:dyDescent="0.25">
      <c r="H230" s="18"/>
      <c r="I230" s="18"/>
      <c r="J230" s="18"/>
      <c r="R230" s="18"/>
      <c r="S230" s="18"/>
      <c r="AH230" s="28"/>
      <c r="AL230" s="28"/>
    </row>
    <row r="231" x14ac:dyDescent="0.25">
      <c r="H231" s="18"/>
      <c r="I231" s="18"/>
      <c r="J231" s="18"/>
      <c r="R231" s="18"/>
      <c r="S231" s="18"/>
      <c r="AH231" s="28"/>
      <c r="AL231" s="28"/>
    </row>
    <row r="232" x14ac:dyDescent="0.25">
      <c r="H232" s="18"/>
      <c r="I232" s="18"/>
      <c r="J232" s="18"/>
      <c r="R232" s="18"/>
      <c r="S232" s="18"/>
      <c r="AH232" s="28"/>
      <c r="AL232" s="28"/>
    </row>
    <row r="233" x14ac:dyDescent="0.25">
      <c r="H233" s="18"/>
      <c r="I233" s="18"/>
      <c r="J233" s="18"/>
      <c r="R233" s="18"/>
      <c r="S233" s="18"/>
      <c r="AH233" s="28"/>
      <c r="AL233" s="28"/>
    </row>
    <row r="234" x14ac:dyDescent="0.25">
      <c r="H234" s="18"/>
      <c r="I234" s="18"/>
      <c r="J234" s="18"/>
      <c r="R234" s="18"/>
      <c r="S234" s="18"/>
      <c r="AH234" s="28"/>
      <c r="AL234" s="28"/>
    </row>
    <row r="235" x14ac:dyDescent="0.25">
      <c r="H235" s="18"/>
      <c r="I235" s="18"/>
      <c r="J235" s="18"/>
      <c r="R235" s="18"/>
      <c r="S235" s="18"/>
      <c r="AH235" s="28"/>
      <c r="AL235" s="28"/>
    </row>
    <row r="236" x14ac:dyDescent="0.25">
      <c r="H236" s="18"/>
      <c r="I236" s="18"/>
      <c r="J236" s="18"/>
      <c r="R236" s="18"/>
      <c r="S236" s="18"/>
      <c r="AH236" s="28"/>
      <c r="AL236" s="28"/>
    </row>
    <row r="237" x14ac:dyDescent="0.25">
      <c r="H237" s="18"/>
      <c r="I237" s="18"/>
      <c r="J237" s="18"/>
      <c r="R237" s="18"/>
      <c r="S237" s="18"/>
      <c r="AH237" s="28"/>
      <c r="AL237" s="28"/>
    </row>
    <row r="238" x14ac:dyDescent="0.25">
      <c r="H238" s="18"/>
      <c r="I238" s="18"/>
      <c r="J238" s="18"/>
      <c r="R238" s="18"/>
      <c r="S238" s="18"/>
      <c r="AH238" s="28"/>
      <c r="AL238" s="28"/>
    </row>
    <row r="239" x14ac:dyDescent="0.25">
      <c r="H239" s="18"/>
      <c r="I239" s="18"/>
      <c r="J239" s="18"/>
      <c r="R239" s="18"/>
      <c r="S239" s="18"/>
      <c r="AH239" s="28"/>
      <c r="AL239" s="28"/>
    </row>
    <row r="240" x14ac:dyDescent="0.25">
      <c r="H240" s="18"/>
      <c r="I240" s="18"/>
      <c r="J240" s="18"/>
      <c r="R240" s="18"/>
      <c r="S240" s="18"/>
      <c r="AH240" s="28"/>
      <c r="AL240" s="28"/>
    </row>
    <row r="241" x14ac:dyDescent="0.25">
      <c r="H241" s="18"/>
      <c r="I241" s="18"/>
      <c r="J241" s="18"/>
      <c r="R241" s="18"/>
      <c r="S241" s="18"/>
      <c r="AH241" s="28"/>
      <c r="AL241" s="28"/>
    </row>
    <row r="242" x14ac:dyDescent="0.25">
      <c r="H242" s="18"/>
      <c r="I242" s="18"/>
      <c r="J242" s="18"/>
      <c r="R242" s="18"/>
      <c r="S242" s="18"/>
      <c r="AH242" s="28"/>
      <c r="AL242" s="28"/>
    </row>
    <row r="243" x14ac:dyDescent="0.25">
      <c r="H243" s="18"/>
      <c r="I243" s="18"/>
      <c r="J243" s="18"/>
      <c r="R243" s="18"/>
      <c r="S243" s="18"/>
      <c r="AH243" s="28"/>
      <c r="AL243" s="28"/>
    </row>
    <row r="244" x14ac:dyDescent="0.25">
      <c r="H244" s="18"/>
      <c r="I244" s="18"/>
      <c r="J244" s="18"/>
      <c r="R244" s="18"/>
      <c r="S244" s="18"/>
      <c r="AH244" s="28"/>
      <c r="AL244" s="28"/>
    </row>
    <row r="245" x14ac:dyDescent="0.25">
      <c r="H245" s="18"/>
      <c r="I245" s="18"/>
      <c r="J245" s="18"/>
      <c r="R245" s="18"/>
      <c r="S245" s="18"/>
      <c r="AH245" s="28"/>
      <c r="AL245" s="28"/>
    </row>
    <row r="246" x14ac:dyDescent="0.25">
      <c r="H246" s="18"/>
      <c r="I246" s="18"/>
      <c r="J246" s="18"/>
      <c r="R246" s="18"/>
      <c r="S246" s="18"/>
      <c r="AH246" s="28"/>
      <c r="AL246" s="28"/>
    </row>
    <row r="247" x14ac:dyDescent="0.25">
      <c r="H247" s="18"/>
      <c r="I247" s="18"/>
      <c r="J247" s="18"/>
      <c r="R247" s="18"/>
      <c r="S247" s="18"/>
      <c r="AH247" s="28"/>
      <c r="AL247" s="28"/>
    </row>
    <row r="248" x14ac:dyDescent="0.25">
      <c r="H248" s="18"/>
      <c r="I248" s="18"/>
      <c r="J248" s="18"/>
      <c r="R248" s="18"/>
      <c r="S248" s="18"/>
      <c r="AH248" s="28"/>
      <c r="AL248" s="28"/>
    </row>
    <row r="249" x14ac:dyDescent="0.25">
      <c r="H249" s="18"/>
      <c r="I249" s="18"/>
      <c r="J249" s="18"/>
      <c r="R249" s="18"/>
      <c r="S249" s="18"/>
      <c r="AH249" s="28"/>
      <c r="AL249" s="28"/>
    </row>
    <row r="250" x14ac:dyDescent="0.25">
      <c r="H250" s="18"/>
      <c r="I250" s="18"/>
      <c r="J250" s="18"/>
      <c r="R250" s="18"/>
      <c r="S250" s="18"/>
      <c r="AH250" s="28"/>
      <c r="AL250" s="28"/>
    </row>
    <row r="251" x14ac:dyDescent="0.25">
      <c r="H251" s="18"/>
      <c r="I251" s="18"/>
      <c r="J251" s="18"/>
      <c r="R251" s="18"/>
      <c r="S251" s="18"/>
      <c r="AH251" s="28"/>
      <c r="AL251" s="28"/>
    </row>
    <row r="252" x14ac:dyDescent="0.25">
      <c r="H252" s="18"/>
      <c r="I252" s="18"/>
      <c r="J252" s="18"/>
      <c r="R252" s="18"/>
      <c r="S252" s="18"/>
      <c r="AH252" s="28"/>
      <c r="AL252" s="28"/>
    </row>
    <row r="253" x14ac:dyDescent="0.25">
      <c r="H253" s="18"/>
      <c r="I253" s="18"/>
      <c r="J253" s="18"/>
      <c r="R253" s="18"/>
      <c r="S253" s="18"/>
      <c r="AH253" s="28"/>
      <c r="AL253" s="28"/>
    </row>
    <row r="254" x14ac:dyDescent="0.25">
      <c r="H254" s="18"/>
      <c r="I254" s="18"/>
      <c r="J254" s="18"/>
      <c r="R254" s="18"/>
      <c r="S254" s="18"/>
      <c r="AH254" s="28"/>
      <c r="AL254" s="28"/>
    </row>
    <row r="255" x14ac:dyDescent="0.25">
      <c r="H255" s="18"/>
      <c r="I255" s="18"/>
      <c r="J255" s="18"/>
      <c r="R255" s="18"/>
      <c r="S255" s="18"/>
      <c r="AH255" s="28"/>
      <c r="AL255" s="28"/>
    </row>
    <row r="256" x14ac:dyDescent="0.25">
      <c r="H256" s="18"/>
      <c r="I256" s="18"/>
      <c r="J256" s="18"/>
      <c r="R256" s="18"/>
      <c r="S256" s="18"/>
      <c r="AH256" s="28"/>
      <c r="AL256" s="28"/>
    </row>
    <row r="257" x14ac:dyDescent="0.25">
      <c r="H257" s="18"/>
      <c r="I257" s="18"/>
      <c r="J257" s="18"/>
      <c r="R257" s="18"/>
      <c r="S257" s="18"/>
      <c r="AH257" s="28"/>
      <c r="AL257" s="28"/>
    </row>
    <row r="258" x14ac:dyDescent="0.25">
      <c r="H258" s="18"/>
      <c r="I258" s="18"/>
      <c r="J258" s="18"/>
      <c r="R258" s="18"/>
      <c r="S258" s="18"/>
      <c r="AH258" s="28"/>
      <c r="AL258" s="28"/>
    </row>
    <row r="259" x14ac:dyDescent="0.25">
      <c r="H259" s="18"/>
      <c r="I259" s="18"/>
      <c r="J259" s="18"/>
      <c r="R259" s="18"/>
      <c r="S259" s="18"/>
      <c r="AH259" s="28"/>
      <c r="AL259" s="28"/>
    </row>
    <row r="260" x14ac:dyDescent="0.25">
      <c r="H260" s="18"/>
      <c r="I260" s="18"/>
      <c r="J260" s="18"/>
      <c r="R260" s="18"/>
      <c r="S260" s="18"/>
      <c r="AH260" s="28"/>
      <c r="AL260" s="28"/>
    </row>
    <row r="261" x14ac:dyDescent="0.25">
      <c r="H261" s="18"/>
      <c r="I261" s="18"/>
      <c r="J261" s="18"/>
      <c r="R261" s="18"/>
      <c r="S261" s="18"/>
      <c r="AH261" s="28"/>
      <c r="AL261" s="28"/>
    </row>
    <row r="262" x14ac:dyDescent="0.25">
      <c r="H262" s="18"/>
      <c r="I262" s="18"/>
      <c r="J262" s="18"/>
      <c r="R262" s="18"/>
      <c r="S262" s="18"/>
      <c r="AH262" s="28"/>
      <c r="AL262" s="28"/>
    </row>
    <row r="263" x14ac:dyDescent="0.25">
      <c r="H263" s="18"/>
      <c r="I263" s="18"/>
      <c r="J263" s="18"/>
      <c r="R263" s="18"/>
      <c r="S263" s="18"/>
      <c r="AH263" s="28"/>
      <c r="AL263" s="28"/>
    </row>
    <row r="264" x14ac:dyDescent="0.25">
      <c r="H264" s="18"/>
      <c r="I264" s="18"/>
      <c r="J264" s="18"/>
      <c r="R264" s="18"/>
      <c r="S264" s="18"/>
      <c r="AH264" s="28"/>
      <c r="AL264" s="28"/>
    </row>
    <row r="265" x14ac:dyDescent="0.25">
      <c r="H265" s="18"/>
      <c r="I265" s="18"/>
      <c r="J265" s="18"/>
      <c r="R265" s="18"/>
      <c r="S265" s="18"/>
      <c r="AH265" s="28"/>
      <c r="AL265" s="28"/>
    </row>
    <row r="266" x14ac:dyDescent="0.25">
      <c r="H266" s="18"/>
      <c r="I266" s="18"/>
      <c r="J266" s="18"/>
      <c r="R266" s="18"/>
      <c r="S266" s="18"/>
      <c r="AH266" s="28"/>
      <c r="AL266" s="28"/>
    </row>
    <row r="267" x14ac:dyDescent="0.25">
      <c r="H267" s="18"/>
      <c r="I267" s="18"/>
      <c r="J267" s="18"/>
      <c r="R267" s="18"/>
      <c r="S267" s="18"/>
      <c r="AH267" s="28"/>
      <c r="AL267" s="28"/>
    </row>
    <row r="268" x14ac:dyDescent="0.25">
      <c r="H268" s="18"/>
      <c r="I268" s="18"/>
      <c r="J268" s="18"/>
      <c r="R268" s="18"/>
      <c r="S268" s="18"/>
      <c r="AH268" s="28"/>
      <c r="AL268" s="28"/>
    </row>
    <row r="269" x14ac:dyDescent="0.25">
      <c r="H269" s="18"/>
      <c r="I269" s="18"/>
      <c r="J269" s="18"/>
      <c r="R269" s="18"/>
      <c r="S269" s="18"/>
      <c r="AH269" s="28"/>
      <c r="AL269" s="28"/>
    </row>
    <row r="270" x14ac:dyDescent="0.25">
      <c r="H270" s="18"/>
      <c r="I270" s="18"/>
      <c r="J270" s="18"/>
      <c r="R270" s="18"/>
      <c r="S270" s="18"/>
      <c r="AH270" s="28"/>
      <c r="AL270" s="28"/>
    </row>
    <row r="271" x14ac:dyDescent="0.25">
      <c r="H271" s="18"/>
      <c r="I271" s="18"/>
      <c r="J271" s="18"/>
      <c r="R271" s="18"/>
      <c r="S271" s="18"/>
      <c r="AH271" s="28"/>
      <c r="AL271" s="28"/>
    </row>
    <row r="272" x14ac:dyDescent="0.25">
      <c r="H272" s="18"/>
      <c r="I272" s="18"/>
      <c r="J272" s="18"/>
      <c r="R272" s="18"/>
      <c r="S272" s="18"/>
      <c r="AH272" s="28"/>
      <c r="AL272" s="28"/>
    </row>
    <row r="273" x14ac:dyDescent="0.25">
      <c r="H273" s="18"/>
      <c r="I273" s="18"/>
      <c r="J273" s="18"/>
      <c r="R273" s="18"/>
      <c r="S273" s="18"/>
      <c r="AH273" s="28"/>
      <c r="AL273" s="28"/>
    </row>
    <row r="274" x14ac:dyDescent="0.25">
      <c r="H274" s="18"/>
      <c r="I274" s="18"/>
      <c r="J274" s="18"/>
      <c r="R274" s="18"/>
      <c r="S274" s="18"/>
      <c r="AH274" s="28"/>
      <c r="AL274" s="28"/>
    </row>
    <row r="275" x14ac:dyDescent="0.25">
      <c r="H275" s="18"/>
      <c r="I275" s="18"/>
      <c r="J275" s="18"/>
      <c r="R275" s="18"/>
      <c r="S275" s="18"/>
      <c r="AH275" s="28"/>
      <c r="AL275" s="28"/>
    </row>
    <row r="276" x14ac:dyDescent="0.25">
      <c r="H276" s="18"/>
      <c r="I276" s="18"/>
      <c r="J276" s="18"/>
      <c r="R276" s="18"/>
      <c r="S276" s="18"/>
      <c r="AH276" s="28"/>
      <c r="AL276" s="28"/>
    </row>
    <row r="277" x14ac:dyDescent="0.25">
      <c r="H277" s="18"/>
      <c r="I277" s="18"/>
      <c r="J277" s="18"/>
      <c r="R277" s="18"/>
      <c r="S277" s="18"/>
      <c r="AH277" s="28"/>
      <c r="AL277" s="28"/>
    </row>
    <row r="278" x14ac:dyDescent="0.25">
      <c r="H278" s="18"/>
      <c r="I278" s="18"/>
      <c r="J278" s="18"/>
      <c r="R278" s="18"/>
      <c r="S278" s="18"/>
      <c r="AH278" s="28"/>
      <c r="AL278" s="28"/>
    </row>
    <row r="279" x14ac:dyDescent="0.25">
      <c r="H279" s="18"/>
      <c r="I279" s="18"/>
      <c r="J279" s="18"/>
      <c r="R279" s="18"/>
      <c r="S279" s="18"/>
      <c r="AH279" s="28"/>
      <c r="AL279" s="28"/>
    </row>
    <row r="280" x14ac:dyDescent="0.25">
      <c r="H280" s="18"/>
      <c r="I280" s="18"/>
      <c r="J280" s="18"/>
      <c r="R280" s="18"/>
      <c r="S280" s="18"/>
      <c r="AH280" s="28"/>
      <c r="AL280" s="28"/>
    </row>
    <row r="281" x14ac:dyDescent="0.25">
      <c r="H281" s="18"/>
      <c r="I281" s="18"/>
      <c r="J281" s="18"/>
      <c r="R281" s="18"/>
      <c r="S281" s="18"/>
      <c r="AH281" s="28"/>
      <c r="AL281" s="28"/>
    </row>
    <row r="282" x14ac:dyDescent="0.25">
      <c r="H282" s="18"/>
      <c r="I282" s="18"/>
      <c r="J282" s="18"/>
      <c r="R282" s="18"/>
      <c r="S282" s="18"/>
      <c r="AH282" s="28"/>
      <c r="AL282" s="28"/>
    </row>
    <row r="283" x14ac:dyDescent="0.25">
      <c r="H283" s="18"/>
      <c r="I283" s="18"/>
      <c r="J283" s="18"/>
      <c r="R283" s="18"/>
      <c r="S283" s="18"/>
      <c r="AH283" s="28"/>
      <c r="AL283" s="28"/>
    </row>
    <row r="284" x14ac:dyDescent="0.25">
      <c r="H284" s="18"/>
      <c r="I284" s="18"/>
      <c r="J284" s="18"/>
      <c r="R284" s="18"/>
      <c r="S284" s="18"/>
      <c r="AH284" s="28"/>
      <c r="AL284" s="28"/>
    </row>
    <row r="285" x14ac:dyDescent="0.25">
      <c r="H285" s="18"/>
      <c r="I285" s="18"/>
      <c r="J285" s="18"/>
      <c r="R285" s="18"/>
      <c r="S285" s="18"/>
      <c r="AH285" s="28"/>
      <c r="AL285" s="28"/>
    </row>
    <row r="286" x14ac:dyDescent="0.25">
      <c r="H286" s="18"/>
      <c r="I286" s="18"/>
      <c r="J286" s="18"/>
      <c r="R286" s="18"/>
      <c r="S286" s="18"/>
      <c r="AH286" s="28"/>
      <c r="AL286" s="28"/>
    </row>
    <row r="287" x14ac:dyDescent="0.25">
      <c r="H287" s="18"/>
      <c r="I287" s="18"/>
      <c r="J287" s="18"/>
      <c r="R287" s="18"/>
      <c r="S287" s="18"/>
      <c r="AH287" s="28"/>
      <c r="AL287" s="28"/>
    </row>
    <row r="288" x14ac:dyDescent="0.25">
      <c r="H288" s="18"/>
      <c r="I288" s="18"/>
      <c r="J288" s="18"/>
      <c r="R288" s="18"/>
      <c r="S288" s="18"/>
      <c r="AH288" s="28"/>
      <c r="AL288" s="28"/>
    </row>
    <row r="289" x14ac:dyDescent="0.25">
      <c r="H289" s="18"/>
      <c r="I289" s="18"/>
      <c r="J289" s="18"/>
      <c r="R289" s="18"/>
      <c r="S289" s="18"/>
      <c r="AH289" s="28"/>
      <c r="AL289" s="28"/>
    </row>
    <row r="290" x14ac:dyDescent="0.25">
      <c r="H290" s="18"/>
      <c r="I290" s="18"/>
      <c r="J290" s="18"/>
      <c r="R290" s="18"/>
      <c r="S290" s="18"/>
      <c r="AH290" s="28"/>
      <c r="AL290" s="28"/>
    </row>
    <row r="291" x14ac:dyDescent="0.25">
      <c r="H291" s="18"/>
      <c r="I291" s="18"/>
      <c r="J291" s="18"/>
      <c r="R291" s="18"/>
      <c r="S291" s="18"/>
      <c r="AH291" s="28"/>
      <c r="AL291" s="28"/>
    </row>
    <row r="292" x14ac:dyDescent="0.25">
      <c r="H292" s="18"/>
      <c r="I292" s="18"/>
      <c r="J292" s="18"/>
      <c r="R292" s="18"/>
      <c r="S292" s="18"/>
      <c r="AH292" s="28"/>
      <c r="AL292" s="28"/>
    </row>
    <row r="293" x14ac:dyDescent="0.25">
      <c r="H293" s="18"/>
      <c r="I293" s="18"/>
      <c r="J293" s="18"/>
      <c r="R293" s="18"/>
      <c r="S293" s="18"/>
      <c r="AH293" s="28"/>
      <c r="AL293" s="28"/>
    </row>
    <row r="294" x14ac:dyDescent="0.25">
      <c r="H294" s="18"/>
      <c r="I294" s="18"/>
      <c r="J294" s="18"/>
      <c r="R294" s="18"/>
      <c r="S294" s="18"/>
      <c r="AH294" s="28"/>
      <c r="AL294" s="28"/>
    </row>
    <row r="295" x14ac:dyDescent="0.25">
      <c r="H295" s="18"/>
      <c r="I295" s="18"/>
      <c r="J295" s="18"/>
      <c r="R295" s="18"/>
      <c r="S295" s="18"/>
      <c r="AH295" s="28"/>
      <c r="AL295" s="28"/>
    </row>
    <row r="296" x14ac:dyDescent="0.25">
      <c r="H296" s="18"/>
      <c r="I296" s="18"/>
      <c r="J296" s="18"/>
      <c r="R296" s="18"/>
      <c r="S296" s="18"/>
      <c r="AH296" s="28"/>
      <c r="AL296" s="28"/>
    </row>
    <row r="297" x14ac:dyDescent="0.25">
      <c r="H297" s="18"/>
      <c r="I297" s="18"/>
      <c r="J297" s="18"/>
      <c r="R297" s="18"/>
      <c r="S297" s="18"/>
      <c r="AH297" s="28"/>
      <c r="AL297" s="28"/>
    </row>
    <row r="298" x14ac:dyDescent="0.25">
      <c r="H298" s="18"/>
      <c r="I298" s="18"/>
      <c r="J298" s="18"/>
      <c r="R298" s="18"/>
      <c r="S298" s="18"/>
      <c r="AH298" s="28"/>
      <c r="AL298" s="28"/>
    </row>
    <row r="299" x14ac:dyDescent="0.25">
      <c r="H299" s="18"/>
      <c r="I299" s="18"/>
      <c r="J299" s="18"/>
      <c r="R299" s="18"/>
      <c r="S299" s="18"/>
      <c r="AH299" s="28"/>
      <c r="AL299" s="28"/>
    </row>
    <row r="300" x14ac:dyDescent="0.25">
      <c r="H300" s="18"/>
      <c r="I300" s="18"/>
      <c r="J300" s="18"/>
      <c r="R300" s="18"/>
      <c r="S300" s="18"/>
      <c r="AH300" s="28"/>
      <c r="AL300" s="28"/>
    </row>
    <row r="301" x14ac:dyDescent="0.25">
      <c r="H301" s="18"/>
      <c r="I301" s="18"/>
      <c r="J301" s="18"/>
      <c r="R301" s="18"/>
      <c r="S301" s="18"/>
      <c r="AH301" s="28"/>
      <c r="AL301" s="28"/>
    </row>
    <row r="302" x14ac:dyDescent="0.25">
      <c r="H302" s="18"/>
      <c r="I302" s="18"/>
      <c r="J302" s="18"/>
      <c r="R302" s="18"/>
      <c r="S302" s="18"/>
      <c r="AH302" s="28"/>
      <c r="AL302" s="28"/>
    </row>
    <row r="303" x14ac:dyDescent="0.25">
      <c r="H303" s="18"/>
      <c r="I303" s="18"/>
      <c r="J303" s="18"/>
      <c r="R303" s="18"/>
      <c r="S303" s="18"/>
      <c r="AH303" s="28"/>
      <c r="AL303" s="28"/>
    </row>
    <row r="304" x14ac:dyDescent="0.25">
      <c r="H304" s="18"/>
      <c r="I304" s="18"/>
      <c r="J304" s="18"/>
      <c r="R304" s="18"/>
      <c r="S304" s="18"/>
      <c r="AH304" s="28"/>
      <c r="AL304" s="28"/>
    </row>
    <row r="305" x14ac:dyDescent="0.25">
      <c r="H305" s="18"/>
      <c r="I305" s="18"/>
      <c r="J305" s="18"/>
      <c r="R305" s="18"/>
      <c r="S305" s="18"/>
      <c r="AH305" s="28"/>
      <c r="AL305" s="28"/>
    </row>
    <row r="306" x14ac:dyDescent="0.25">
      <c r="H306" s="18"/>
      <c r="I306" s="18"/>
      <c r="J306" s="18"/>
      <c r="R306" s="18"/>
      <c r="S306" s="18"/>
      <c r="AH306" s="28"/>
      <c r="AL306" s="28"/>
    </row>
    <row r="307" x14ac:dyDescent="0.25">
      <c r="H307" s="18"/>
      <c r="I307" s="18"/>
      <c r="J307" s="18"/>
      <c r="R307" s="18"/>
      <c r="S307" s="18"/>
      <c r="AH307" s="28"/>
      <c r="AL307" s="28"/>
    </row>
    <row r="308" x14ac:dyDescent="0.25">
      <c r="H308" s="18"/>
      <c r="I308" s="18"/>
      <c r="J308" s="18"/>
      <c r="R308" s="18"/>
      <c r="S308" s="18"/>
      <c r="AH308" s="28"/>
      <c r="AL308" s="28"/>
    </row>
    <row r="309" x14ac:dyDescent="0.25">
      <c r="H309" s="18"/>
      <c r="I309" s="18"/>
      <c r="J309" s="18"/>
      <c r="R309" s="18"/>
      <c r="S309" s="18"/>
      <c r="AH309" s="28"/>
      <c r="AL309" s="28"/>
    </row>
    <row r="310" x14ac:dyDescent="0.25">
      <c r="H310" s="18"/>
      <c r="I310" s="18"/>
      <c r="J310" s="18"/>
      <c r="R310" s="18"/>
      <c r="S310" s="18"/>
      <c r="AH310" s="28"/>
      <c r="AL310" s="28"/>
    </row>
    <row r="311" x14ac:dyDescent="0.25">
      <c r="H311" s="18"/>
      <c r="I311" s="18"/>
      <c r="J311" s="18"/>
      <c r="R311" s="18"/>
      <c r="S311" s="18"/>
      <c r="AH311" s="28"/>
      <c r="AL311" s="28"/>
    </row>
    <row r="312" x14ac:dyDescent="0.25">
      <c r="H312" s="18"/>
      <c r="I312" s="18"/>
      <c r="J312" s="18"/>
      <c r="R312" s="18"/>
      <c r="S312" s="18"/>
      <c r="AH312" s="28"/>
      <c r="AL312" s="28"/>
    </row>
    <row r="313" x14ac:dyDescent="0.25">
      <c r="H313" s="18"/>
      <c r="I313" s="18"/>
      <c r="J313" s="18"/>
      <c r="R313" s="18"/>
      <c r="S313" s="18"/>
      <c r="AH313" s="28"/>
      <c r="AL313" s="28"/>
    </row>
    <row r="314" x14ac:dyDescent="0.25">
      <c r="H314" s="18"/>
      <c r="I314" s="18"/>
      <c r="J314" s="18"/>
      <c r="R314" s="18"/>
      <c r="S314" s="18"/>
      <c r="AH314" s="28"/>
      <c r="AL314" s="28"/>
    </row>
    <row r="315" x14ac:dyDescent="0.25">
      <c r="H315" s="18"/>
      <c r="I315" s="18"/>
      <c r="J315" s="18"/>
      <c r="R315" s="18"/>
      <c r="S315" s="18"/>
      <c r="AH315" s="28"/>
      <c r="AL315" s="28"/>
    </row>
    <row r="316" x14ac:dyDescent="0.25">
      <c r="H316" s="18"/>
      <c r="I316" s="18"/>
      <c r="J316" s="18"/>
      <c r="R316" s="18"/>
      <c r="S316" s="18"/>
      <c r="AH316" s="28"/>
      <c r="AL316" s="28"/>
    </row>
    <row r="317" x14ac:dyDescent="0.25">
      <c r="H317" s="18"/>
      <c r="I317" s="18"/>
      <c r="J317" s="18"/>
      <c r="R317" s="18"/>
      <c r="S317" s="18"/>
      <c r="AH317" s="28"/>
      <c r="AL317" s="28"/>
    </row>
    <row r="318" x14ac:dyDescent="0.25">
      <c r="H318" s="18"/>
      <c r="I318" s="18"/>
      <c r="J318" s="18"/>
      <c r="R318" s="18"/>
      <c r="S318" s="18"/>
      <c r="AH318" s="28"/>
      <c r="AL318" s="28"/>
    </row>
    <row r="319" x14ac:dyDescent="0.25">
      <c r="H319" s="18"/>
      <c r="I319" s="18"/>
      <c r="J319" s="18"/>
      <c r="R319" s="18"/>
      <c r="S319" s="18"/>
      <c r="AH319" s="28"/>
      <c r="AL319" s="28"/>
    </row>
    <row r="320" x14ac:dyDescent="0.25">
      <c r="H320" s="18"/>
      <c r="I320" s="18"/>
      <c r="J320" s="18"/>
      <c r="R320" s="18"/>
      <c r="S320" s="18"/>
      <c r="AH320" s="28"/>
      <c r="AL320" s="28"/>
    </row>
    <row r="321" x14ac:dyDescent="0.25">
      <c r="H321" s="18"/>
      <c r="I321" s="18"/>
      <c r="J321" s="18"/>
      <c r="R321" s="18"/>
      <c r="S321" s="18"/>
      <c r="AH321" s="28"/>
      <c r="AL321" s="28"/>
    </row>
    <row r="322" x14ac:dyDescent="0.25">
      <c r="H322" s="18"/>
      <c r="I322" s="18"/>
      <c r="J322" s="18"/>
      <c r="R322" s="18"/>
      <c r="S322" s="18"/>
      <c r="AH322" s="28"/>
      <c r="AL322" s="28"/>
    </row>
    <row r="323" x14ac:dyDescent="0.25">
      <c r="H323" s="18"/>
      <c r="I323" s="18"/>
      <c r="J323" s="18"/>
      <c r="R323" s="18"/>
      <c r="S323" s="18"/>
      <c r="AH323" s="28"/>
      <c r="AL323" s="28"/>
    </row>
    <row r="324" x14ac:dyDescent="0.25">
      <c r="H324" s="18"/>
      <c r="I324" s="18"/>
      <c r="J324" s="18"/>
      <c r="R324" s="18"/>
      <c r="S324" s="18"/>
      <c r="AH324" s="28"/>
      <c r="AL324" s="28"/>
    </row>
    <row r="325" x14ac:dyDescent="0.25">
      <c r="H325" s="18"/>
      <c r="I325" s="18"/>
      <c r="J325" s="18"/>
      <c r="R325" s="18"/>
      <c r="S325" s="18"/>
      <c r="AH325" s="28"/>
      <c r="AL325" s="28"/>
    </row>
    <row r="326" x14ac:dyDescent="0.25">
      <c r="H326" s="18"/>
      <c r="I326" s="18"/>
      <c r="J326" s="18"/>
      <c r="R326" s="18"/>
      <c r="S326" s="18"/>
      <c r="AH326" s="28"/>
      <c r="AL326" s="28"/>
    </row>
    <row r="327" x14ac:dyDescent="0.25">
      <c r="H327" s="18"/>
      <c r="I327" s="18"/>
      <c r="J327" s="18"/>
      <c r="R327" s="18"/>
      <c r="S327" s="18"/>
      <c r="AH327" s="28"/>
      <c r="AL327" s="28"/>
    </row>
    <row r="328" x14ac:dyDescent="0.25">
      <c r="H328" s="18"/>
      <c r="I328" s="18"/>
      <c r="J328" s="18"/>
      <c r="R328" s="18"/>
      <c r="S328" s="18"/>
      <c r="AH328" s="28"/>
      <c r="AL328" s="28"/>
    </row>
    <row r="329" x14ac:dyDescent="0.25">
      <c r="H329" s="18"/>
      <c r="I329" s="18"/>
      <c r="J329" s="18"/>
      <c r="R329" s="18"/>
      <c r="S329" s="18"/>
      <c r="AH329" s="28"/>
      <c r="AL329" s="28"/>
    </row>
    <row r="330" x14ac:dyDescent="0.25">
      <c r="H330" s="18"/>
      <c r="I330" s="18"/>
      <c r="J330" s="18"/>
      <c r="R330" s="18"/>
      <c r="S330" s="18"/>
      <c r="AH330" s="28"/>
      <c r="AL330" s="28"/>
    </row>
    <row r="331" x14ac:dyDescent="0.25">
      <c r="H331" s="18"/>
      <c r="I331" s="18"/>
      <c r="J331" s="18"/>
      <c r="R331" s="18"/>
      <c r="S331" s="18"/>
      <c r="AH331" s="28"/>
      <c r="AL331" s="28"/>
    </row>
    <row r="332" x14ac:dyDescent="0.25">
      <c r="H332" s="18"/>
      <c r="I332" s="18"/>
      <c r="J332" s="18"/>
      <c r="R332" s="18"/>
      <c r="S332" s="18"/>
      <c r="AH332" s="28"/>
      <c r="AL332" s="28"/>
    </row>
    <row r="333" x14ac:dyDescent="0.25">
      <c r="H333" s="18"/>
      <c r="I333" s="18"/>
      <c r="J333" s="18"/>
      <c r="R333" s="18"/>
      <c r="S333" s="18"/>
      <c r="AH333" s="28"/>
      <c r="AL333" s="28"/>
    </row>
    <row r="334" x14ac:dyDescent="0.25">
      <c r="H334" s="18"/>
      <c r="I334" s="18"/>
      <c r="J334" s="18"/>
      <c r="R334" s="18"/>
      <c r="S334" s="18"/>
      <c r="AH334" s="28"/>
      <c r="AL334" s="28"/>
    </row>
    <row r="335" x14ac:dyDescent="0.25">
      <c r="H335" s="18"/>
      <c r="I335" s="18"/>
      <c r="J335" s="18"/>
      <c r="R335" s="18"/>
      <c r="S335" s="18"/>
      <c r="AH335" s="28"/>
      <c r="AL335" s="28"/>
    </row>
    <row r="336" x14ac:dyDescent="0.25">
      <c r="H336" s="18"/>
      <c r="I336" s="18"/>
      <c r="J336" s="18"/>
      <c r="R336" s="18"/>
      <c r="S336" s="18"/>
      <c r="AH336" s="28"/>
      <c r="AL336" s="28"/>
    </row>
    <row r="337" x14ac:dyDescent="0.25">
      <c r="H337" s="18"/>
      <c r="I337" s="18"/>
      <c r="J337" s="18"/>
      <c r="R337" s="18"/>
      <c r="S337" s="18"/>
      <c r="AH337" s="28"/>
      <c r="AL337" s="28"/>
    </row>
    <row r="338" x14ac:dyDescent="0.25">
      <c r="H338" s="18"/>
      <c r="I338" s="18"/>
      <c r="J338" s="18"/>
      <c r="R338" s="18"/>
      <c r="S338" s="18"/>
      <c r="AH338" s="28"/>
      <c r="AL338" s="28"/>
    </row>
    <row r="339" x14ac:dyDescent="0.25">
      <c r="H339" s="18"/>
      <c r="I339" s="18"/>
      <c r="J339" s="18"/>
      <c r="R339" s="18"/>
      <c r="S339" s="18"/>
      <c r="AH339" s="28"/>
      <c r="AL339" s="28"/>
    </row>
    <row r="340" x14ac:dyDescent="0.25">
      <c r="H340" s="18"/>
      <c r="I340" s="18"/>
      <c r="J340" s="18"/>
      <c r="R340" s="18"/>
      <c r="S340" s="18"/>
      <c r="AH340" s="28"/>
      <c r="AL340" s="28"/>
    </row>
    <row r="341" x14ac:dyDescent="0.25">
      <c r="H341" s="18"/>
      <c r="I341" s="18"/>
      <c r="J341" s="18"/>
      <c r="R341" s="18"/>
      <c r="S341" s="18"/>
      <c r="AH341" s="28"/>
      <c r="AL341" s="28"/>
    </row>
    <row r="342" x14ac:dyDescent="0.25">
      <c r="H342" s="18"/>
      <c r="I342" s="18"/>
      <c r="J342" s="18"/>
      <c r="R342" s="18"/>
      <c r="S342" s="18"/>
      <c r="AH342" s="28"/>
      <c r="AL342" s="28"/>
    </row>
    <row r="343" x14ac:dyDescent="0.25">
      <c r="H343" s="18"/>
      <c r="I343" s="18"/>
      <c r="J343" s="18"/>
      <c r="R343" s="18"/>
      <c r="S343" s="18"/>
      <c r="AH343" s="28"/>
      <c r="AL343" s="28"/>
    </row>
    <row r="344" x14ac:dyDescent="0.25">
      <c r="H344" s="18"/>
      <c r="I344" s="18"/>
      <c r="J344" s="18"/>
      <c r="R344" s="18"/>
      <c r="S344" s="18"/>
      <c r="AH344" s="28"/>
      <c r="AL344" s="28"/>
    </row>
    <row r="345" x14ac:dyDescent="0.25">
      <c r="H345" s="18"/>
      <c r="I345" s="18"/>
      <c r="J345" s="18"/>
      <c r="R345" s="18"/>
      <c r="S345" s="18"/>
      <c r="AH345" s="28"/>
      <c r="AL345" s="28"/>
    </row>
    <row r="346" x14ac:dyDescent="0.25">
      <c r="H346" s="18"/>
      <c r="I346" s="18"/>
      <c r="J346" s="18"/>
      <c r="R346" s="18"/>
      <c r="S346" s="18"/>
      <c r="AH346" s="28"/>
      <c r="AL346" s="28"/>
    </row>
    <row r="347" x14ac:dyDescent="0.25">
      <c r="H347" s="18"/>
      <c r="I347" s="18"/>
      <c r="J347" s="18"/>
      <c r="R347" s="18"/>
      <c r="S347" s="18"/>
      <c r="AH347" s="28"/>
      <c r="AL347" s="28"/>
    </row>
    <row r="348" x14ac:dyDescent="0.25">
      <c r="H348" s="18"/>
      <c r="I348" s="18"/>
      <c r="J348" s="18"/>
      <c r="R348" s="18"/>
      <c r="S348" s="18"/>
      <c r="AH348" s="28"/>
      <c r="AL348" s="28"/>
    </row>
    <row r="349" x14ac:dyDescent="0.25">
      <c r="H349" s="18"/>
      <c r="I349" s="18"/>
      <c r="J349" s="18"/>
      <c r="R349" s="18"/>
      <c r="S349" s="18"/>
      <c r="AH349" s="28"/>
      <c r="AL349" s="28"/>
    </row>
    <row r="350" x14ac:dyDescent="0.25">
      <c r="H350" s="18"/>
      <c r="I350" s="18"/>
      <c r="J350" s="18"/>
      <c r="R350" s="18"/>
      <c r="S350" s="18"/>
      <c r="AH350" s="28"/>
      <c r="AL350" s="28"/>
    </row>
    <row r="351" x14ac:dyDescent="0.25">
      <c r="H351" s="18"/>
      <c r="I351" s="18"/>
      <c r="J351" s="18"/>
      <c r="R351" s="18"/>
      <c r="S351" s="18"/>
      <c r="AH351" s="28"/>
      <c r="AL351" s="28"/>
    </row>
    <row r="352" x14ac:dyDescent="0.25">
      <c r="H352" s="18"/>
      <c r="I352" s="18"/>
      <c r="J352" s="18"/>
      <c r="R352" s="18"/>
      <c r="S352" s="18"/>
      <c r="AH352" s="28"/>
      <c r="AL352" s="28"/>
    </row>
    <row r="353" x14ac:dyDescent="0.25">
      <c r="H353" s="18"/>
      <c r="I353" s="18"/>
      <c r="J353" s="18"/>
      <c r="R353" s="18"/>
      <c r="S353" s="18"/>
      <c r="AH353" s="28"/>
      <c r="AL353" s="28"/>
    </row>
    <row r="354" x14ac:dyDescent="0.25">
      <c r="H354" s="18"/>
      <c r="I354" s="18"/>
      <c r="J354" s="18"/>
      <c r="R354" s="18"/>
      <c r="S354" s="18"/>
      <c r="AH354" s="28"/>
      <c r="AL354" s="28"/>
    </row>
    <row r="355" x14ac:dyDescent="0.25">
      <c r="H355" s="18"/>
      <c r="I355" s="18"/>
      <c r="J355" s="18"/>
      <c r="R355" s="18"/>
      <c r="S355" s="18"/>
      <c r="AH355" s="28"/>
      <c r="AL355" s="28"/>
    </row>
    <row r="356" x14ac:dyDescent="0.25">
      <c r="H356" s="18"/>
      <c r="I356" s="18"/>
      <c r="J356" s="18"/>
      <c r="R356" s="18"/>
      <c r="S356" s="18"/>
      <c r="AH356" s="28"/>
      <c r="AL356" s="28"/>
    </row>
    <row r="357" x14ac:dyDescent="0.25">
      <c r="H357" s="18"/>
      <c r="I357" s="18"/>
      <c r="J357" s="18"/>
      <c r="R357" s="18"/>
      <c r="S357" s="18"/>
      <c r="AH357" s="28"/>
      <c r="AL357" s="28"/>
    </row>
    <row r="358" x14ac:dyDescent="0.25">
      <c r="H358" s="18"/>
      <c r="I358" s="18"/>
      <c r="J358" s="18"/>
      <c r="R358" s="18"/>
      <c r="S358" s="18"/>
      <c r="AH358" s="28"/>
      <c r="AL358" s="28"/>
    </row>
    <row r="359" x14ac:dyDescent="0.25">
      <c r="H359" s="18"/>
      <c r="I359" s="18"/>
      <c r="J359" s="18"/>
      <c r="R359" s="18"/>
      <c r="S359" s="18"/>
      <c r="AH359" s="28"/>
      <c r="AL359" s="28"/>
    </row>
    <row r="360" x14ac:dyDescent="0.25">
      <c r="H360" s="18"/>
      <c r="I360" s="18"/>
      <c r="J360" s="18"/>
      <c r="R360" s="18"/>
      <c r="S360" s="18"/>
      <c r="AH360" s="28"/>
      <c r="AL360" s="28"/>
    </row>
    <row r="361" x14ac:dyDescent="0.25">
      <c r="H361" s="18"/>
      <c r="I361" s="18"/>
      <c r="J361" s="18"/>
      <c r="R361" s="18"/>
      <c r="S361" s="18"/>
      <c r="AH361" s="28"/>
      <c r="AL361" s="28"/>
    </row>
    <row r="362" x14ac:dyDescent="0.25">
      <c r="H362" s="18"/>
      <c r="I362" s="18"/>
      <c r="J362" s="18"/>
      <c r="R362" s="18"/>
      <c r="S362" s="18"/>
      <c r="AH362" s="28"/>
      <c r="AL362" s="28"/>
    </row>
    <row r="363" x14ac:dyDescent="0.25">
      <c r="H363" s="18"/>
      <c r="I363" s="18"/>
      <c r="J363" s="18"/>
      <c r="R363" s="18"/>
      <c r="S363" s="18"/>
      <c r="AH363" s="28"/>
      <c r="AL363" s="28"/>
    </row>
    <row r="364" x14ac:dyDescent="0.25">
      <c r="H364" s="18"/>
      <c r="I364" s="18"/>
      <c r="J364" s="18"/>
      <c r="R364" s="18"/>
      <c r="S364" s="18"/>
      <c r="AH364" s="28"/>
      <c r="AL364" s="28"/>
    </row>
    <row r="365" x14ac:dyDescent="0.25">
      <c r="H365" s="18"/>
      <c r="I365" s="18"/>
      <c r="J365" s="18"/>
      <c r="R365" s="18"/>
      <c r="S365" s="18"/>
      <c r="AH365" s="28"/>
      <c r="AL365" s="28"/>
    </row>
    <row r="366" x14ac:dyDescent="0.25">
      <c r="H366" s="18"/>
      <c r="I366" s="18"/>
      <c r="J366" s="18"/>
      <c r="R366" s="18"/>
      <c r="S366" s="18"/>
      <c r="AH366" s="28"/>
      <c r="AL366" s="28"/>
    </row>
    <row r="367" x14ac:dyDescent="0.25">
      <c r="H367" s="18"/>
      <c r="I367" s="18"/>
      <c r="J367" s="18"/>
      <c r="R367" s="18"/>
      <c r="S367" s="18"/>
      <c r="AH367" s="28"/>
      <c r="AL367" s="28"/>
    </row>
    <row r="368" x14ac:dyDescent="0.25">
      <c r="H368" s="18"/>
      <c r="I368" s="18"/>
      <c r="J368" s="18"/>
      <c r="R368" s="18"/>
      <c r="S368" s="18"/>
      <c r="AH368" s="28"/>
      <c r="AL368" s="28"/>
    </row>
    <row r="369" x14ac:dyDescent="0.25">
      <c r="H369" s="18"/>
      <c r="I369" s="18"/>
      <c r="J369" s="18"/>
      <c r="R369" s="18"/>
      <c r="S369" s="18"/>
      <c r="AH369" s="28"/>
      <c r="AL369" s="28"/>
    </row>
    <row r="370" x14ac:dyDescent="0.25">
      <c r="H370" s="18"/>
      <c r="I370" s="18"/>
      <c r="J370" s="18"/>
      <c r="R370" s="18"/>
      <c r="S370" s="18"/>
      <c r="AH370" s="28"/>
      <c r="AL370" s="28"/>
    </row>
    <row r="371" x14ac:dyDescent="0.25">
      <c r="H371" s="18"/>
      <c r="I371" s="18"/>
      <c r="J371" s="18"/>
      <c r="R371" s="18"/>
      <c r="S371" s="18"/>
      <c r="AH371" s="28"/>
      <c r="AL371" s="28"/>
    </row>
    <row r="372" x14ac:dyDescent="0.25">
      <c r="H372" s="18"/>
      <c r="I372" s="18"/>
      <c r="J372" s="18"/>
      <c r="R372" s="18"/>
      <c r="S372" s="18"/>
      <c r="AH372" s="28"/>
      <c r="AL372" s="28"/>
    </row>
    <row r="373" x14ac:dyDescent="0.25">
      <c r="H373" s="18"/>
      <c r="I373" s="18"/>
      <c r="J373" s="18"/>
      <c r="R373" s="18"/>
      <c r="S373" s="18"/>
      <c r="AH373" s="28"/>
      <c r="AL373" s="28"/>
    </row>
    <row r="374" x14ac:dyDescent="0.25">
      <c r="H374" s="18"/>
      <c r="I374" s="18"/>
      <c r="J374" s="18"/>
      <c r="R374" s="18"/>
      <c r="S374" s="18"/>
      <c r="AH374" s="28"/>
      <c r="AL374" s="28"/>
    </row>
    <row r="375" x14ac:dyDescent="0.25">
      <c r="H375" s="18"/>
      <c r="I375" s="18"/>
      <c r="J375" s="18"/>
      <c r="R375" s="18"/>
      <c r="S375" s="18"/>
      <c r="AH375" s="28"/>
      <c r="AL375" s="28"/>
    </row>
    <row r="376" x14ac:dyDescent="0.25">
      <c r="H376" s="18"/>
      <c r="I376" s="18"/>
      <c r="J376" s="18"/>
      <c r="R376" s="18"/>
      <c r="S376" s="18"/>
      <c r="AH376" s="28"/>
      <c r="AL376" s="28"/>
    </row>
    <row r="377" x14ac:dyDescent="0.25">
      <c r="H377" s="18"/>
      <c r="I377" s="18"/>
      <c r="J377" s="18"/>
      <c r="R377" s="18"/>
      <c r="S377" s="18"/>
      <c r="AH377" s="28"/>
      <c r="AL377" s="28"/>
    </row>
    <row r="378" x14ac:dyDescent="0.25">
      <c r="H378" s="18"/>
      <c r="I378" s="18"/>
      <c r="J378" s="18"/>
      <c r="R378" s="18"/>
      <c r="S378" s="18"/>
      <c r="AH378" s="28"/>
      <c r="AL378" s="28"/>
    </row>
    <row r="379" x14ac:dyDescent="0.25">
      <c r="H379" s="18"/>
      <c r="I379" s="18"/>
      <c r="J379" s="18"/>
      <c r="R379" s="18"/>
      <c r="S379" s="18"/>
      <c r="AH379" s="28"/>
      <c r="AL379" s="28"/>
    </row>
    <row r="380" x14ac:dyDescent="0.25">
      <c r="H380" s="18"/>
      <c r="I380" s="18"/>
      <c r="J380" s="18"/>
      <c r="R380" s="18"/>
      <c r="S380" s="18"/>
      <c r="AH380" s="28"/>
      <c r="AL380" s="28"/>
    </row>
    <row r="381" x14ac:dyDescent="0.25">
      <c r="H381" s="18"/>
      <c r="I381" s="18"/>
      <c r="J381" s="18"/>
      <c r="R381" s="18"/>
      <c r="S381" s="18"/>
      <c r="AH381" s="28"/>
      <c r="AL381" s="28"/>
    </row>
    <row r="382" x14ac:dyDescent="0.25">
      <c r="H382" s="18"/>
      <c r="I382" s="18"/>
      <c r="J382" s="18"/>
      <c r="R382" s="18"/>
      <c r="S382" s="18"/>
      <c r="AH382" s="28"/>
      <c r="AL382" s="28"/>
    </row>
    <row r="383" x14ac:dyDescent="0.25">
      <c r="H383" s="18"/>
      <c r="I383" s="18"/>
      <c r="J383" s="18"/>
      <c r="R383" s="18"/>
      <c r="S383" s="18"/>
      <c r="AH383" s="28"/>
      <c r="AL383" s="28"/>
    </row>
    <row r="384" x14ac:dyDescent="0.25">
      <c r="H384" s="18"/>
      <c r="I384" s="18"/>
      <c r="J384" s="18"/>
      <c r="R384" s="18"/>
      <c r="S384" s="18"/>
      <c r="AH384" s="28"/>
      <c r="AL384" s="28"/>
    </row>
    <row r="385" x14ac:dyDescent="0.25">
      <c r="H385" s="18"/>
      <c r="I385" s="18"/>
      <c r="J385" s="18"/>
      <c r="R385" s="18"/>
      <c r="S385" s="18"/>
      <c r="AH385" s="28"/>
      <c r="AL385" s="28"/>
    </row>
    <row r="386" x14ac:dyDescent="0.25">
      <c r="H386" s="18"/>
      <c r="I386" s="18"/>
      <c r="J386" s="18"/>
      <c r="R386" s="18"/>
      <c r="S386" s="18"/>
      <c r="AH386" s="28"/>
      <c r="AL386" s="28"/>
    </row>
    <row r="387" x14ac:dyDescent="0.25">
      <c r="H387" s="18"/>
      <c r="I387" s="18"/>
      <c r="J387" s="18"/>
      <c r="R387" s="18"/>
      <c r="S387" s="18"/>
      <c r="AH387" s="28"/>
      <c r="AL387" s="28"/>
    </row>
    <row r="388" x14ac:dyDescent="0.25">
      <c r="H388" s="18"/>
      <c r="I388" s="18"/>
      <c r="J388" s="18"/>
      <c r="R388" s="18"/>
      <c r="S388" s="18"/>
      <c r="AH388" s="28"/>
      <c r="AL388" s="28"/>
    </row>
    <row r="389" x14ac:dyDescent="0.25">
      <c r="H389" s="18"/>
      <c r="I389" s="18"/>
      <c r="J389" s="18"/>
      <c r="R389" s="18"/>
      <c r="S389" s="18"/>
      <c r="AH389" s="28"/>
      <c r="AL389" s="28"/>
    </row>
    <row r="390" x14ac:dyDescent="0.25">
      <c r="H390" s="18"/>
      <c r="I390" s="18"/>
      <c r="J390" s="18"/>
      <c r="R390" s="18"/>
      <c r="S390" s="18"/>
      <c r="AH390" s="28"/>
      <c r="AL390" s="28"/>
    </row>
    <row r="391" x14ac:dyDescent="0.25">
      <c r="H391" s="18"/>
      <c r="I391" s="18"/>
      <c r="J391" s="18"/>
      <c r="R391" s="18"/>
      <c r="S391" s="18"/>
      <c r="AH391" s="28"/>
      <c r="AL391" s="28"/>
    </row>
    <row r="392" x14ac:dyDescent="0.25">
      <c r="H392" s="18"/>
      <c r="I392" s="18"/>
      <c r="J392" s="18"/>
      <c r="R392" s="18"/>
      <c r="S392" s="18"/>
      <c r="AH392" s="28"/>
      <c r="AL392" s="28"/>
    </row>
    <row r="393" x14ac:dyDescent="0.25">
      <c r="H393" s="18"/>
      <c r="I393" s="18"/>
      <c r="J393" s="18"/>
      <c r="R393" s="18"/>
      <c r="S393" s="18"/>
      <c r="AH393" s="28"/>
      <c r="AL393" s="28"/>
    </row>
    <row r="394" x14ac:dyDescent="0.25">
      <c r="H394" s="18"/>
      <c r="I394" s="18"/>
      <c r="J394" s="18"/>
      <c r="R394" s="18"/>
      <c r="S394" s="18"/>
      <c r="AH394" s="28"/>
      <c r="AL394" s="28"/>
    </row>
    <row r="395" x14ac:dyDescent="0.25">
      <c r="H395" s="18"/>
      <c r="I395" s="18"/>
      <c r="J395" s="18"/>
      <c r="R395" s="18"/>
      <c r="S395" s="18"/>
      <c r="AH395" s="28"/>
      <c r="AL395" s="28"/>
    </row>
    <row r="396" x14ac:dyDescent="0.25">
      <c r="H396" s="18"/>
      <c r="I396" s="18"/>
      <c r="J396" s="18"/>
      <c r="R396" s="18"/>
      <c r="S396" s="18"/>
      <c r="AH396" s="28"/>
      <c r="AL396" s="28"/>
    </row>
    <row r="397" x14ac:dyDescent="0.25">
      <c r="H397" s="18"/>
      <c r="I397" s="18"/>
      <c r="J397" s="18"/>
      <c r="R397" s="18"/>
      <c r="S397" s="18"/>
      <c r="AH397" s="28"/>
      <c r="AL397" s="28"/>
    </row>
    <row r="398" x14ac:dyDescent="0.25">
      <c r="H398" s="18"/>
      <c r="I398" s="18"/>
      <c r="J398" s="18"/>
      <c r="R398" s="18"/>
      <c r="S398" s="18"/>
      <c r="AH398" s="28"/>
      <c r="AL398" s="28"/>
    </row>
    <row r="399" x14ac:dyDescent="0.25">
      <c r="H399" s="18"/>
      <c r="I399" s="18"/>
      <c r="J399" s="18"/>
      <c r="R399" s="18"/>
      <c r="S399" s="18"/>
      <c r="AH399" s="28"/>
      <c r="AL399" s="28"/>
    </row>
    <row r="400" x14ac:dyDescent="0.25">
      <c r="H400" s="18"/>
      <c r="I400" s="18"/>
      <c r="J400" s="18"/>
      <c r="R400" s="18"/>
      <c r="S400" s="18"/>
      <c r="AH400" s="28"/>
      <c r="AL400" s="28"/>
    </row>
    <row r="401" x14ac:dyDescent="0.25">
      <c r="H401" s="18"/>
      <c r="I401" s="18"/>
      <c r="J401" s="18"/>
      <c r="R401" s="18"/>
      <c r="S401" s="18"/>
      <c r="AH401" s="28"/>
      <c r="AL401" s="28"/>
    </row>
    <row r="402" x14ac:dyDescent="0.25">
      <c r="H402" s="18"/>
      <c r="I402" s="18"/>
      <c r="J402" s="18"/>
      <c r="R402" s="18"/>
      <c r="S402" s="18"/>
      <c r="AH402" s="28"/>
      <c r="AL402" s="28"/>
    </row>
    <row r="403" x14ac:dyDescent="0.25">
      <c r="H403" s="18"/>
      <c r="I403" s="18"/>
      <c r="J403" s="18"/>
      <c r="R403" s="18"/>
      <c r="S403" s="18"/>
      <c r="AH403" s="28"/>
      <c r="AL403" s="28"/>
    </row>
    <row r="404" x14ac:dyDescent="0.25">
      <c r="H404" s="18"/>
      <c r="I404" s="18"/>
      <c r="J404" s="18"/>
      <c r="R404" s="18"/>
      <c r="S404" s="18"/>
      <c r="AH404" s="28"/>
      <c r="AL404" s="28"/>
    </row>
    <row r="405" x14ac:dyDescent="0.25">
      <c r="H405" s="18"/>
      <c r="I405" s="18"/>
      <c r="J405" s="18"/>
      <c r="R405" s="18"/>
      <c r="S405" s="18"/>
      <c r="AH405" s="28"/>
      <c r="AL405" s="28"/>
    </row>
    <row r="406" x14ac:dyDescent="0.25">
      <c r="H406" s="18"/>
      <c r="I406" s="18"/>
      <c r="J406" s="18"/>
      <c r="R406" s="18"/>
      <c r="S406" s="18"/>
      <c r="AH406" s="28"/>
      <c r="AL406" s="28"/>
    </row>
    <row r="407" x14ac:dyDescent="0.25">
      <c r="H407" s="18"/>
      <c r="I407" s="18"/>
      <c r="J407" s="18"/>
      <c r="R407" s="18"/>
      <c r="S407" s="18"/>
      <c r="AH407" s="28"/>
      <c r="AL407" s="28"/>
    </row>
    <row r="408" x14ac:dyDescent="0.25">
      <c r="H408" s="18"/>
      <c r="I408" s="18"/>
      <c r="J408" s="18"/>
      <c r="R408" s="18"/>
      <c r="S408" s="18"/>
      <c r="AH408" s="28"/>
      <c r="AL408" s="28"/>
    </row>
    <row r="409" x14ac:dyDescent="0.25">
      <c r="H409" s="18"/>
      <c r="I409" s="18"/>
      <c r="J409" s="18"/>
      <c r="R409" s="18"/>
      <c r="S409" s="18"/>
      <c r="AH409" s="28"/>
      <c r="AL409" s="28"/>
    </row>
    <row r="410" x14ac:dyDescent="0.25">
      <c r="H410" s="18"/>
      <c r="I410" s="18"/>
      <c r="J410" s="18"/>
      <c r="R410" s="18"/>
      <c r="S410" s="18"/>
      <c r="AH410" s="28"/>
      <c r="AL410" s="28"/>
    </row>
    <row r="411" x14ac:dyDescent="0.25">
      <c r="H411" s="18"/>
      <c r="I411" s="18"/>
      <c r="J411" s="18"/>
      <c r="R411" s="18"/>
      <c r="S411" s="18"/>
      <c r="AH411" s="28"/>
      <c r="AL411" s="28"/>
    </row>
    <row r="412" x14ac:dyDescent="0.25">
      <c r="H412" s="18"/>
      <c r="I412" s="18"/>
      <c r="J412" s="18"/>
      <c r="R412" s="18"/>
      <c r="S412" s="18"/>
      <c r="AH412" s="28"/>
      <c r="AL412" s="28"/>
    </row>
    <row r="413" x14ac:dyDescent="0.25">
      <c r="H413" s="18"/>
      <c r="I413" s="18"/>
      <c r="J413" s="18"/>
      <c r="R413" s="18"/>
      <c r="S413" s="18"/>
      <c r="AH413" s="28"/>
      <c r="AL413" s="28"/>
    </row>
    <row r="414" x14ac:dyDescent="0.25">
      <c r="H414" s="18"/>
      <c r="I414" s="18"/>
      <c r="J414" s="18"/>
      <c r="R414" s="18"/>
      <c r="S414" s="18"/>
      <c r="AH414" s="28"/>
      <c r="AL414" s="28"/>
    </row>
    <row r="415" x14ac:dyDescent="0.25">
      <c r="H415" s="18"/>
      <c r="I415" s="18"/>
      <c r="J415" s="18"/>
      <c r="R415" s="18"/>
      <c r="S415" s="18"/>
      <c r="AH415" s="28"/>
      <c r="AL415" s="28"/>
    </row>
    <row r="416" x14ac:dyDescent="0.25">
      <c r="H416" s="18"/>
      <c r="I416" s="18"/>
      <c r="J416" s="18"/>
      <c r="R416" s="18"/>
      <c r="S416" s="18"/>
      <c r="AH416" s="28"/>
      <c r="AL416" s="28"/>
    </row>
    <row r="417" x14ac:dyDescent="0.25">
      <c r="H417" s="18"/>
      <c r="I417" s="18"/>
      <c r="J417" s="18"/>
      <c r="R417" s="18"/>
      <c r="S417" s="18"/>
      <c r="AH417" s="28"/>
      <c r="AL417" s="28"/>
    </row>
    <row r="418" x14ac:dyDescent="0.25">
      <c r="H418" s="18"/>
      <c r="I418" s="18"/>
      <c r="J418" s="18"/>
      <c r="R418" s="18"/>
      <c r="S418" s="18"/>
      <c r="AH418" s="28"/>
      <c r="AL418" s="28"/>
    </row>
    <row r="419" x14ac:dyDescent="0.25">
      <c r="H419" s="18"/>
      <c r="I419" s="18"/>
      <c r="J419" s="18"/>
      <c r="R419" s="18"/>
      <c r="S419" s="18"/>
      <c r="AH419" s="28"/>
      <c r="AL419" s="28"/>
    </row>
    <row r="420" x14ac:dyDescent="0.25">
      <c r="H420" s="18"/>
      <c r="I420" s="18"/>
      <c r="J420" s="18"/>
      <c r="R420" s="18"/>
      <c r="S420" s="18"/>
      <c r="AH420" s="28"/>
      <c r="AL420" s="28"/>
    </row>
    <row r="421" x14ac:dyDescent="0.25">
      <c r="H421" s="18"/>
      <c r="I421" s="18"/>
      <c r="J421" s="18"/>
      <c r="R421" s="18"/>
      <c r="S421" s="18"/>
      <c r="AH421" s="28"/>
      <c r="AL421" s="28"/>
    </row>
    <row r="422" x14ac:dyDescent="0.25">
      <c r="H422" s="18"/>
      <c r="I422" s="18"/>
      <c r="J422" s="18"/>
      <c r="R422" s="18"/>
      <c r="S422" s="18"/>
      <c r="AH422" s="28"/>
      <c r="AL422" s="28"/>
    </row>
    <row r="423" x14ac:dyDescent="0.25">
      <c r="H423" s="18"/>
      <c r="I423" s="18"/>
      <c r="J423" s="18"/>
      <c r="R423" s="18"/>
      <c r="S423" s="18"/>
      <c r="AH423" s="28"/>
      <c r="AL423" s="28"/>
    </row>
    <row r="424" x14ac:dyDescent="0.25">
      <c r="H424" s="18"/>
      <c r="I424" s="18"/>
      <c r="J424" s="18"/>
      <c r="R424" s="18"/>
      <c r="S424" s="18"/>
      <c r="AH424" s="28"/>
      <c r="AL424" s="28"/>
    </row>
    <row r="425" x14ac:dyDescent="0.25">
      <c r="H425" s="18"/>
      <c r="I425" s="18"/>
      <c r="J425" s="18"/>
      <c r="R425" s="18"/>
      <c r="S425" s="18"/>
      <c r="AH425" s="28"/>
      <c r="AL425" s="28"/>
    </row>
    <row r="426" x14ac:dyDescent="0.25">
      <c r="H426" s="18"/>
      <c r="I426" s="18"/>
      <c r="J426" s="18"/>
      <c r="R426" s="18"/>
      <c r="S426" s="18"/>
      <c r="AH426" s="28"/>
      <c r="AL426" s="28"/>
    </row>
    <row r="427" x14ac:dyDescent="0.25">
      <c r="H427" s="18"/>
      <c r="I427" s="18"/>
      <c r="J427" s="18"/>
      <c r="R427" s="18"/>
      <c r="S427" s="18"/>
      <c r="AH427" s="28"/>
      <c r="AL427" s="28"/>
    </row>
    <row r="428" x14ac:dyDescent="0.25">
      <c r="H428" s="18"/>
      <c r="I428" s="18"/>
      <c r="J428" s="18"/>
      <c r="R428" s="18"/>
      <c r="S428" s="18"/>
      <c r="AH428" s="28"/>
      <c r="AL428" s="28"/>
    </row>
    <row r="429" x14ac:dyDescent="0.25">
      <c r="H429" s="18"/>
      <c r="I429" s="18"/>
      <c r="J429" s="18"/>
      <c r="R429" s="18"/>
      <c r="S429" s="18"/>
      <c r="AH429" s="28"/>
      <c r="AL429" s="28"/>
    </row>
    <row r="430" x14ac:dyDescent="0.25">
      <c r="H430" s="18"/>
      <c r="I430" s="18"/>
      <c r="J430" s="18"/>
      <c r="R430" s="18"/>
      <c r="S430" s="18"/>
      <c r="AH430" s="28"/>
      <c r="AL430" s="28"/>
    </row>
    <row r="431" x14ac:dyDescent="0.25">
      <c r="H431" s="18"/>
      <c r="I431" s="18"/>
      <c r="J431" s="18"/>
      <c r="R431" s="18"/>
      <c r="S431" s="18"/>
      <c r="AH431" s="28"/>
      <c r="AL431" s="28"/>
    </row>
    <row r="432" x14ac:dyDescent="0.25">
      <c r="H432" s="18"/>
      <c r="I432" s="18"/>
      <c r="J432" s="18"/>
      <c r="R432" s="18"/>
      <c r="S432" s="18"/>
      <c r="AH432" s="28"/>
      <c r="AL432" s="28"/>
    </row>
    <row r="433" x14ac:dyDescent="0.25">
      <c r="H433" s="18"/>
      <c r="I433" s="18"/>
      <c r="J433" s="18"/>
      <c r="R433" s="18"/>
      <c r="S433" s="18"/>
      <c r="AH433" s="28"/>
      <c r="AL433" s="28"/>
    </row>
    <row r="434" x14ac:dyDescent="0.25">
      <c r="H434" s="18"/>
      <c r="I434" s="18"/>
      <c r="J434" s="18"/>
      <c r="R434" s="18"/>
      <c r="S434" s="18"/>
      <c r="AH434" s="28"/>
      <c r="AL434" s="28"/>
    </row>
    <row r="435" x14ac:dyDescent="0.25">
      <c r="H435" s="18"/>
      <c r="I435" s="18"/>
      <c r="J435" s="18"/>
      <c r="R435" s="18"/>
      <c r="S435" s="18"/>
      <c r="AH435" s="28"/>
      <c r="AL435" s="28"/>
    </row>
    <row r="436" x14ac:dyDescent="0.25">
      <c r="H436" s="18"/>
      <c r="I436" s="18"/>
      <c r="J436" s="18"/>
      <c r="R436" s="18"/>
      <c r="S436" s="18"/>
      <c r="AH436" s="28"/>
      <c r="AL436" s="28"/>
    </row>
    <row r="437" x14ac:dyDescent="0.25">
      <c r="H437" s="18"/>
      <c r="I437" s="18"/>
      <c r="J437" s="18"/>
      <c r="R437" s="18"/>
      <c r="S437" s="18"/>
      <c r="AH437" s="28"/>
      <c r="AL437" s="28"/>
    </row>
    <row r="438" x14ac:dyDescent="0.25">
      <c r="H438" s="18"/>
      <c r="I438" s="18"/>
      <c r="J438" s="18"/>
      <c r="R438" s="18"/>
      <c r="S438" s="18"/>
      <c r="AH438" s="28"/>
      <c r="AL438" s="28"/>
    </row>
    <row r="439" x14ac:dyDescent="0.25">
      <c r="H439" s="18"/>
      <c r="I439" s="18"/>
      <c r="J439" s="18"/>
      <c r="R439" s="18"/>
      <c r="S439" s="18"/>
      <c r="AH439" s="28"/>
      <c r="AL439" s="28"/>
    </row>
    <row r="440" x14ac:dyDescent="0.25">
      <c r="H440" s="18"/>
      <c r="I440" s="18"/>
      <c r="J440" s="18"/>
      <c r="R440" s="18"/>
      <c r="S440" s="18"/>
      <c r="AH440" s="28"/>
      <c r="AL440" s="28"/>
    </row>
    <row r="441" x14ac:dyDescent="0.25">
      <c r="H441" s="18"/>
      <c r="I441" s="18"/>
      <c r="J441" s="18"/>
      <c r="R441" s="18"/>
      <c r="S441" s="18"/>
      <c r="AH441" s="28"/>
      <c r="AL441" s="28"/>
    </row>
    <row r="442" x14ac:dyDescent="0.25">
      <c r="H442" s="18"/>
      <c r="I442" s="18"/>
      <c r="J442" s="18"/>
      <c r="R442" s="18"/>
      <c r="S442" s="18"/>
      <c r="AH442" s="28"/>
      <c r="AL442" s="28"/>
    </row>
    <row r="443" x14ac:dyDescent="0.25">
      <c r="H443" s="18"/>
      <c r="I443" s="18"/>
      <c r="J443" s="18"/>
      <c r="R443" s="18"/>
      <c r="S443" s="18"/>
      <c r="AH443" s="28"/>
      <c r="AL443" s="28"/>
    </row>
    <row r="444" x14ac:dyDescent="0.25">
      <c r="H444" s="18"/>
      <c r="I444" s="18"/>
      <c r="J444" s="18"/>
      <c r="R444" s="18"/>
      <c r="S444" s="18"/>
      <c r="AH444" s="28"/>
      <c r="AL444" s="28"/>
    </row>
    <row r="445" x14ac:dyDescent="0.25">
      <c r="H445" s="18"/>
      <c r="I445" s="18"/>
      <c r="J445" s="18"/>
      <c r="R445" s="18"/>
      <c r="S445" s="18"/>
      <c r="AH445" s="28"/>
      <c r="AL445" s="28"/>
    </row>
    <row r="446" x14ac:dyDescent="0.25">
      <c r="H446" s="18"/>
      <c r="I446" s="18"/>
      <c r="J446" s="18"/>
      <c r="R446" s="18"/>
      <c r="S446" s="18"/>
      <c r="AH446" s="28"/>
      <c r="AL446" s="28"/>
    </row>
    <row r="447" x14ac:dyDescent="0.25">
      <c r="H447" s="18"/>
      <c r="I447" s="18"/>
      <c r="J447" s="18"/>
      <c r="R447" s="18"/>
      <c r="S447" s="18"/>
      <c r="AH447" s="28"/>
      <c r="AL447" s="28"/>
    </row>
    <row r="448" x14ac:dyDescent="0.25">
      <c r="H448" s="18"/>
      <c r="I448" s="18"/>
      <c r="J448" s="18"/>
      <c r="R448" s="18"/>
      <c r="S448" s="18"/>
      <c r="AH448" s="28"/>
      <c r="AL448" s="28"/>
    </row>
    <row r="449" x14ac:dyDescent="0.25">
      <c r="H449" s="18"/>
      <c r="I449" s="18"/>
      <c r="J449" s="18"/>
      <c r="R449" s="18"/>
      <c r="S449" s="18"/>
      <c r="AH449" s="28"/>
      <c r="AL449" s="28"/>
    </row>
    <row r="450" x14ac:dyDescent="0.25">
      <c r="H450" s="18"/>
      <c r="I450" s="18"/>
      <c r="J450" s="18"/>
      <c r="R450" s="18"/>
      <c r="S450" s="18"/>
      <c r="AH450" s="28"/>
      <c r="AL450" s="28"/>
    </row>
    <row r="451" x14ac:dyDescent="0.25">
      <c r="H451" s="18"/>
      <c r="I451" s="18"/>
      <c r="J451" s="18"/>
      <c r="R451" s="18"/>
      <c r="S451" s="18"/>
      <c r="AH451" s="28"/>
      <c r="AL451" s="28"/>
    </row>
    <row r="452" x14ac:dyDescent="0.25">
      <c r="H452" s="18"/>
      <c r="I452" s="18"/>
      <c r="J452" s="18"/>
      <c r="R452" s="18"/>
      <c r="S452" s="18"/>
      <c r="AH452" s="28"/>
      <c r="AL452" s="28"/>
    </row>
    <row r="453" x14ac:dyDescent="0.25">
      <c r="H453" s="18"/>
      <c r="I453" s="18"/>
      <c r="J453" s="18"/>
      <c r="R453" s="18"/>
      <c r="S453" s="18"/>
      <c r="AH453" s="28"/>
      <c r="AL453" s="28"/>
    </row>
    <row r="454" x14ac:dyDescent="0.25">
      <c r="H454" s="18"/>
      <c r="I454" s="18"/>
      <c r="J454" s="18"/>
      <c r="R454" s="18"/>
      <c r="S454" s="18"/>
      <c r="AH454" s="28"/>
      <c r="AL454" s="28"/>
    </row>
    <row r="455" x14ac:dyDescent="0.25">
      <c r="H455" s="18"/>
      <c r="I455" s="18"/>
      <c r="J455" s="18"/>
      <c r="R455" s="18"/>
      <c r="S455" s="18"/>
      <c r="AH455" s="28"/>
      <c r="AL455" s="28"/>
    </row>
    <row r="456" x14ac:dyDescent="0.25">
      <c r="H456" s="18"/>
      <c r="I456" s="18"/>
      <c r="J456" s="18"/>
      <c r="R456" s="18"/>
      <c r="S456" s="18"/>
      <c r="AH456" s="28"/>
      <c r="AL456" s="28"/>
    </row>
    <row r="457" x14ac:dyDescent="0.25">
      <c r="H457" s="18"/>
      <c r="I457" s="18"/>
      <c r="J457" s="18"/>
      <c r="R457" s="18"/>
      <c r="S457" s="18"/>
      <c r="AH457" s="28"/>
      <c r="AL457" s="28"/>
    </row>
    <row r="458" x14ac:dyDescent="0.25">
      <c r="H458" s="18"/>
      <c r="I458" s="18"/>
      <c r="J458" s="18"/>
      <c r="R458" s="18"/>
      <c r="S458" s="18"/>
      <c r="AH458" s="28"/>
      <c r="AL458" s="28"/>
    </row>
    <row r="459" x14ac:dyDescent="0.25">
      <c r="H459" s="18"/>
      <c r="I459" s="18"/>
      <c r="J459" s="18"/>
      <c r="R459" s="18"/>
      <c r="S459" s="18"/>
      <c r="AH459" s="28"/>
      <c r="AL459" s="28"/>
    </row>
    <row r="460" x14ac:dyDescent="0.25">
      <c r="H460" s="18"/>
      <c r="I460" s="18"/>
      <c r="J460" s="18"/>
      <c r="R460" s="18"/>
      <c r="S460" s="18"/>
      <c r="AH460" s="28"/>
      <c r="AL460" s="28"/>
    </row>
    <row r="461" x14ac:dyDescent="0.25">
      <c r="H461" s="18"/>
      <c r="I461" s="18"/>
      <c r="J461" s="18"/>
      <c r="R461" s="18"/>
      <c r="S461" s="18"/>
      <c r="AH461" s="28"/>
      <c r="AL461" s="28"/>
    </row>
    <row r="462" x14ac:dyDescent="0.25">
      <c r="H462" s="18"/>
      <c r="I462" s="18"/>
      <c r="J462" s="18"/>
      <c r="R462" s="18"/>
      <c r="S462" s="18"/>
      <c r="AH462" s="28"/>
      <c r="AL462" s="28"/>
    </row>
    <row r="463" x14ac:dyDescent="0.25">
      <c r="H463" s="18"/>
      <c r="I463" s="18"/>
      <c r="J463" s="18"/>
      <c r="R463" s="18"/>
      <c r="S463" s="18"/>
      <c r="AH463" s="28"/>
      <c r="AL463" s="28"/>
    </row>
    <row r="464" x14ac:dyDescent="0.25">
      <c r="H464" s="18"/>
      <c r="I464" s="18"/>
      <c r="J464" s="18"/>
      <c r="R464" s="18"/>
      <c r="S464" s="18"/>
      <c r="AH464" s="28"/>
      <c r="AL464" s="28"/>
    </row>
    <row r="465" x14ac:dyDescent="0.25">
      <c r="H465" s="18"/>
      <c r="I465" s="18"/>
      <c r="J465" s="18"/>
      <c r="R465" s="18"/>
      <c r="S465" s="18"/>
      <c r="AH465" s="28"/>
      <c r="AL465" s="28"/>
    </row>
    <row r="466" x14ac:dyDescent="0.25">
      <c r="H466" s="18"/>
      <c r="I466" s="18"/>
      <c r="J466" s="18"/>
      <c r="R466" s="18"/>
      <c r="S466" s="18"/>
      <c r="AH466" s="28"/>
      <c r="AL466" s="28"/>
    </row>
    <row r="467" x14ac:dyDescent="0.25">
      <c r="H467" s="18"/>
      <c r="I467" s="18"/>
      <c r="J467" s="18"/>
      <c r="R467" s="18"/>
      <c r="S467" s="18"/>
      <c r="AH467" s="28"/>
      <c r="AL467" s="28"/>
    </row>
    <row r="468" x14ac:dyDescent="0.25">
      <c r="H468" s="18"/>
      <c r="I468" s="18"/>
      <c r="J468" s="18"/>
      <c r="R468" s="18"/>
      <c r="S468" s="18"/>
      <c r="AH468" s="28"/>
      <c r="AL468" s="28"/>
    </row>
    <row r="469" x14ac:dyDescent="0.25">
      <c r="H469" s="18"/>
      <c r="I469" s="18"/>
      <c r="J469" s="18"/>
      <c r="R469" s="18"/>
      <c r="S469" s="18"/>
      <c r="AH469" s="28"/>
      <c r="AL469" s="28"/>
    </row>
    <row r="470" x14ac:dyDescent="0.25">
      <c r="H470" s="18"/>
      <c r="I470" s="18"/>
      <c r="J470" s="18"/>
      <c r="R470" s="18"/>
      <c r="S470" s="18"/>
      <c r="AH470" s="28"/>
      <c r="AL470" s="28"/>
    </row>
    <row r="471" x14ac:dyDescent="0.25">
      <c r="H471" s="18"/>
      <c r="I471" s="18"/>
      <c r="J471" s="18"/>
      <c r="R471" s="18"/>
      <c r="S471" s="18"/>
      <c r="AH471" s="28"/>
      <c r="AL471" s="28"/>
    </row>
    <row r="472" x14ac:dyDescent="0.25">
      <c r="H472" s="18"/>
      <c r="I472" s="18"/>
      <c r="J472" s="18"/>
      <c r="R472" s="18"/>
      <c r="S472" s="18"/>
      <c r="AH472" s="28"/>
      <c r="AL472" s="28"/>
    </row>
    <row r="473" x14ac:dyDescent="0.25">
      <c r="H473" s="18"/>
      <c r="I473" s="18"/>
      <c r="J473" s="18"/>
      <c r="R473" s="18"/>
      <c r="S473" s="18"/>
      <c r="AH473" s="28"/>
      <c r="AL473" s="28"/>
    </row>
    <row r="474" x14ac:dyDescent="0.25">
      <c r="H474" s="18"/>
      <c r="I474" s="18"/>
      <c r="J474" s="18"/>
      <c r="R474" s="18"/>
      <c r="S474" s="18"/>
      <c r="AH474" s="28"/>
      <c r="AL474" s="28"/>
    </row>
    <row r="475" x14ac:dyDescent="0.25">
      <c r="H475" s="18"/>
      <c r="I475" s="18"/>
      <c r="J475" s="18"/>
      <c r="R475" s="18"/>
      <c r="S475" s="18"/>
      <c r="AH475" s="28"/>
      <c r="AL475" s="28"/>
    </row>
    <row r="476" x14ac:dyDescent="0.25">
      <c r="H476" s="18"/>
      <c r="I476" s="18"/>
      <c r="J476" s="18"/>
      <c r="R476" s="18"/>
      <c r="S476" s="18"/>
      <c r="AH476" s="28"/>
      <c r="AL476" s="28"/>
    </row>
    <row r="477" x14ac:dyDescent="0.25">
      <c r="H477" s="18"/>
      <c r="I477" s="18"/>
      <c r="J477" s="18"/>
      <c r="R477" s="18"/>
      <c r="S477" s="18"/>
      <c r="AH477" s="28"/>
      <c r="AL477" s="28"/>
    </row>
    <row r="478" x14ac:dyDescent="0.25">
      <c r="H478" s="18"/>
      <c r="I478" s="18"/>
      <c r="J478" s="18"/>
      <c r="R478" s="18"/>
      <c r="S478" s="18"/>
      <c r="AH478" s="28"/>
      <c r="AL478" s="28"/>
    </row>
    <row r="479" x14ac:dyDescent="0.25">
      <c r="H479" s="18"/>
      <c r="I479" s="18"/>
      <c r="J479" s="18"/>
      <c r="R479" s="18"/>
      <c r="S479" s="18"/>
      <c r="AH479" s="28"/>
      <c r="AL479" s="28"/>
    </row>
    <row r="480" x14ac:dyDescent="0.25">
      <c r="H480" s="18"/>
      <c r="I480" s="18"/>
      <c r="J480" s="18"/>
      <c r="R480" s="18"/>
      <c r="S480" s="18"/>
      <c r="AH480" s="28"/>
      <c r="AL480" s="28"/>
    </row>
    <row r="481" x14ac:dyDescent="0.25">
      <c r="H481" s="18"/>
      <c r="I481" s="18"/>
      <c r="J481" s="18"/>
      <c r="R481" s="18"/>
      <c r="S481" s="18"/>
      <c r="AH481" s="28"/>
      <c r="AL481" s="28"/>
    </row>
    <row r="482" x14ac:dyDescent="0.25">
      <c r="H482" s="18"/>
      <c r="I482" s="18"/>
      <c r="J482" s="18"/>
      <c r="R482" s="18"/>
      <c r="S482" s="18"/>
      <c r="AH482" s="28"/>
      <c r="AL482" s="28"/>
    </row>
    <row r="483" x14ac:dyDescent="0.25">
      <c r="H483" s="18"/>
      <c r="I483" s="18"/>
      <c r="J483" s="18"/>
      <c r="R483" s="18"/>
      <c r="S483" s="18"/>
      <c r="AH483" s="28"/>
      <c r="AL483" s="28"/>
    </row>
    <row r="484" x14ac:dyDescent="0.25">
      <c r="H484" s="18"/>
      <c r="I484" s="18"/>
      <c r="J484" s="18"/>
      <c r="R484" s="18"/>
      <c r="S484" s="18"/>
      <c r="AH484" s="28"/>
      <c r="AL484" s="28"/>
    </row>
    <row r="485" x14ac:dyDescent="0.25">
      <c r="H485" s="18"/>
      <c r="I485" s="18"/>
      <c r="J485" s="18"/>
      <c r="R485" s="18"/>
      <c r="S485" s="18"/>
      <c r="AH485" s="28"/>
      <c r="AL485" s="28"/>
    </row>
    <row r="486" x14ac:dyDescent="0.25">
      <c r="H486" s="18"/>
      <c r="I486" s="18"/>
      <c r="J486" s="18"/>
      <c r="R486" s="18"/>
      <c r="S486" s="18"/>
      <c r="AH486" s="28"/>
      <c r="AL486" s="28"/>
    </row>
    <row r="487" x14ac:dyDescent="0.25">
      <c r="H487" s="18"/>
      <c r="I487" s="18"/>
      <c r="J487" s="18"/>
      <c r="R487" s="18"/>
      <c r="S487" s="18"/>
      <c r="AH487" s="28"/>
      <c r="AL487" s="28"/>
    </row>
    <row r="488" x14ac:dyDescent="0.25">
      <c r="H488" s="18"/>
      <c r="I488" s="18"/>
      <c r="J488" s="18"/>
      <c r="R488" s="18"/>
      <c r="S488" s="18"/>
      <c r="AH488" s="28"/>
      <c r="AL488" s="28"/>
    </row>
    <row r="489" x14ac:dyDescent="0.25">
      <c r="H489" s="18"/>
      <c r="I489" s="18"/>
      <c r="J489" s="18"/>
      <c r="R489" s="18"/>
      <c r="S489" s="18"/>
      <c r="AH489" s="28"/>
      <c r="AL489" s="28"/>
    </row>
    <row r="490" x14ac:dyDescent="0.25">
      <c r="H490" s="18"/>
      <c r="I490" s="18"/>
      <c r="J490" s="18"/>
      <c r="R490" s="18"/>
      <c r="S490" s="18"/>
      <c r="AH490" s="28"/>
      <c r="AL490" s="28"/>
    </row>
    <row r="491" x14ac:dyDescent="0.25">
      <c r="H491" s="18"/>
      <c r="I491" s="18"/>
      <c r="J491" s="18"/>
      <c r="R491" s="18"/>
      <c r="S491" s="18"/>
      <c r="AH491" s="28"/>
      <c r="AL491" s="28"/>
    </row>
    <row r="492" x14ac:dyDescent="0.25">
      <c r="H492" s="18"/>
      <c r="I492" s="18"/>
      <c r="J492" s="18"/>
      <c r="R492" s="18"/>
      <c r="S492" s="18"/>
      <c r="AH492" s="28"/>
      <c r="AL492" s="28"/>
    </row>
    <row r="493" x14ac:dyDescent="0.25">
      <c r="H493" s="18"/>
      <c r="I493" s="18"/>
      <c r="J493" s="18"/>
      <c r="R493" s="18"/>
      <c r="S493" s="18"/>
      <c r="AH493" s="28"/>
      <c r="AL493" s="28"/>
    </row>
    <row r="494" x14ac:dyDescent="0.25">
      <c r="H494" s="18"/>
      <c r="I494" s="18"/>
      <c r="J494" s="18"/>
      <c r="R494" s="18"/>
      <c r="S494" s="18"/>
      <c r="AH494" s="28"/>
      <c r="AL494" s="28"/>
    </row>
    <row r="495" x14ac:dyDescent="0.25">
      <c r="H495" s="18"/>
      <c r="I495" s="18"/>
      <c r="J495" s="18"/>
      <c r="R495" s="18"/>
      <c r="S495" s="18"/>
      <c r="AH495" s="28"/>
      <c r="AL495" s="28"/>
    </row>
    <row r="496" x14ac:dyDescent="0.25">
      <c r="H496" s="18"/>
      <c r="I496" s="18"/>
      <c r="J496" s="18"/>
      <c r="R496" s="18"/>
      <c r="S496" s="18"/>
      <c r="AH496" s="28"/>
      <c r="AL496" s="28"/>
    </row>
    <row r="497" x14ac:dyDescent="0.25">
      <c r="H497" s="18"/>
      <c r="I497" s="18"/>
      <c r="J497" s="18"/>
      <c r="R497" s="18"/>
      <c r="S497" s="18"/>
      <c r="AH497" s="28"/>
      <c r="AL497" s="28"/>
    </row>
    <row r="498" x14ac:dyDescent="0.25">
      <c r="H498" s="18"/>
      <c r="I498" s="18"/>
      <c r="J498" s="18"/>
      <c r="R498" s="18"/>
      <c r="S498" s="18"/>
      <c r="AH498" s="28"/>
      <c r="AL498" s="28"/>
    </row>
    <row r="499" x14ac:dyDescent="0.25">
      <c r="H499" s="18"/>
      <c r="I499" s="18"/>
      <c r="J499" s="18"/>
      <c r="R499" s="18"/>
      <c r="S499" s="18"/>
      <c r="AH499" s="28"/>
      <c r="AL499" s="28"/>
    </row>
    <row r="500" x14ac:dyDescent="0.25">
      <c r="H500" s="18"/>
      <c r="I500" s="18"/>
      <c r="J500" s="18"/>
      <c r="R500" s="18"/>
      <c r="S500" s="18"/>
      <c r="AH500" s="28"/>
      <c r="AL500" s="28"/>
    </row>
    <row r="501" x14ac:dyDescent="0.25">
      <c r="H501" s="18"/>
      <c r="I501" s="18"/>
      <c r="J501" s="18"/>
      <c r="R501" s="18"/>
      <c r="S501" s="18"/>
      <c r="AH501" s="28"/>
      <c r="AL501" s="28"/>
    </row>
    <row r="502" x14ac:dyDescent="0.25">
      <c r="H502" s="18"/>
      <c r="I502" s="18"/>
      <c r="J502" s="18"/>
      <c r="R502" s="18"/>
      <c r="S502" s="18"/>
      <c r="AH502" s="28"/>
      <c r="AL502" s="28"/>
    </row>
    <row r="503" x14ac:dyDescent="0.25">
      <c r="H503" s="18"/>
      <c r="I503" s="18"/>
      <c r="J503" s="18"/>
      <c r="R503" s="18"/>
      <c r="S503" s="18"/>
      <c r="AH503" s="28"/>
      <c r="AL503" s="28"/>
    </row>
    <row r="504" x14ac:dyDescent="0.25">
      <c r="H504" s="18"/>
      <c r="I504" s="18"/>
      <c r="J504" s="18"/>
      <c r="R504" s="18"/>
      <c r="S504" s="18"/>
      <c r="AH504" s="28"/>
      <c r="AL504" s="28"/>
    </row>
    <row r="505" x14ac:dyDescent="0.25">
      <c r="H505" s="18"/>
      <c r="I505" s="18"/>
      <c r="J505" s="18"/>
      <c r="R505" s="18"/>
      <c r="S505" s="18"/>
      <c r="AH505" s="28"/>
      <c r="AL505" s="28"/>
    </row>
    <row r="506" x14ac:dyDescent="0.25">
      <c r="H506" s="18"/>
      <c r="I506" s="18"/>
      <c r="J506" s="18"/>
      <c r="R506" s="18"/>
      <c r="S506" s="18"/>
      <c r="AH506" s="28"/>
      <c r="AL506" s="28"/>
    </row>
    <row r="507" x14ac:dyDescent="0.25">
      <c r="H507" s="18"/>
      <c r="I507" s="18"/>
      <c r="J507" s="18"/>
      <c r="R507" s="18"/>
      <c r="S507" s="18"/>
      <c r="AH507" s="28"/>
      <c r="AL507" s="28"/>
    </row>
    <row r="508" x14ac:dyDescent="0.25">
      <c r="H508" s="18"/>
      <c r="I508" s="18"/>
      <c r="J508" s="18"/>
      <c r="R508" s="18"/>
      <c r="S508" s="18"/>
      <c r="AH508" s="28"/>
      <c r="AL508" s="28"/>
    </row>
    <row r="509" x14ac:dyDescent="0.25">
      <c r="H509" s="18"/>
      <c r="I509" s="18"/>
      <c r="J509" s="18"/>
      <c r="R509" s="18"/>
      <c r="S509" s="18"/>
      <c r="AH509" s="28"/>
      <c r="AL509" s="28"/>
    </row>
    <row r="510" x14ac:dyDescent="0.25">
      <c r="H510" s="18"/>
      <c r="I510" s="18"/>
      <c r="J510" s="18"/>
      <c r="R510" s="18"/>
      <c r="S510" s="18"/>
      <c r="AH510" s="28"/>
      <c r="AL510" s="28"/>
    </row>
    <row r="511" x14ac:dyDescent="0.25">
      <c r="H511" s="18"/>
      <c r="I511" s="18"/>
      <c r="J511" s="18"/>
      <c r="R511" s="18"/>
      <c r="S511" s="18"/>
      <c r="AH511" s="28"/>
      <c r="AL511" s="28"/>
    </row>
    <row r="512" x14ac:dyDescent="0.25">
      <c r="H512" s="18"/>
      <c r="I512" s="18"/>
      <c r="J512" s="18"/>
      <c r="R512" s="18"/>
      <c r="S512" s="18"/>
      <c r="AH512" s="28"/>
      <c r="AL512" s="28"/>
    </row>
    <row r="513" x14ac:dyDescent="0.25">
      <c r="H513" s="18"/>
      <c r="I513" s="18"/>
      <c r="J513" s="18"/>
      <c r="R513" s="18"/>
      <c r="S513" s="18"/>
      <c r="AH513" s="28"/>
      <c r="AL513" s="28"/>
    </row>
    <row r="514" x14ac:dyDescent="0.25">
      <c r="H514" s="18"/>
      <c r="I514" s="18"/>
      <c r="J514" s="18"/>
      <c r="R514" s="18"/>
      <c r="S514" s="18"/>
      <c r="AH514" s="28"/>
      <c r="AL514" s="28"/>
    </row>
    <row r="515" x14ac:dyDescent="0.25">
      <c r="H515" s="18"/>
      <c r="I515" s="18"/>
      <c r="J515" s="18"/>
      <c r="R515" s="18"/>
      <c r="S515" s="18"/>
      <c r="AH515" s="28"/>
      <c r="AL515" s="28"/>
    </row>
    <row r="516" x14ac:dyDescent="0.25">
      <c r="H516" s="18"/>
      <c r="I516" s="18"/>
      <c r="J516" s="18"/>
      <c r="R516" s="18"/>
      <c r="S516" s="18"/>
      <c r="AH516" s="28"/>
      <c r="AL516" s="28"/>
    </row>
    <row r="517" x14ac:dyDescent="0.25">
      <c r="H517" s="18"/>
      <c r="I517" s="18"/>
      <c r="J517" s="18"/>
      <c r="R517" s="18"/>
      <c r="S517" s="18"/>
      <c r="AH517" s="28"/>
      <c r="AL517" s="28"/>
    </row>
    <row r="518" x14ac:dyDescent="0.25">
      <c r="H518" s="18"/>
      <c r="I518" s="18"/>
      <c r="J518" s="18"/>
      <c r="R518" s="18"/>
      <c r="S518" s="18"/>
      <c r="AH518" s="28"/>
      <c r="AL518" s="28"/>
    </row>
    <row r="519" x14ac:dyDescent="0.25">
      <c r="H519" s="18"/>
      <c r="I519" s="18"/>
      <c r="J519" s="18"/>
      <c r="R519" s="18"/>
      <c r="S519" s="18"/>
      <c r="AH519" s="28"/>
      <c r="AL519" s="28"/>
    </row>
    <row r="520" x14ac:dyDescent="0.25">
      <c r="H520" s="18"/>
      <c r="I520" s="18"/>
      <c r="J520" s="18"/>
      <c r="R520" s="18"/>
      <c r="S520" s="18"/>
      <c r="AH520" s="28"/>
      <c r="AL520" s="28"/>
    </row>
    <row r="521" x14ac:dyDescent="0.25">
      <c r="H521" s="18"/>
      <c r="I521" s="18"/>
      <c r="J521" s="18"/>
      <c r="R521" s="18"/>
      <c r="S521" s="18"/>
      <c r="AH521" s="28"/>
      <c r="AL521" s="28"/>
    </row>
    <row r="522" x14ac:dyDescent="0.25">
      <c r="H522" s="18"/>
      <c r="I522" s="18"/>
      <c r="J522" s="18"/>
      <c r="R522" s="18"/>
      <c r="S522" s="18"/>
      <c r="AH522" s="28"/>
      <c r="AL522" s="28"/>
    </row>
    <row r="523" x14ac:dyDescent="0.25">
      <c r="H523" s="18"/>
      <c r="I523" s="18"/>
      <c r="J523" s="18"/>
      <c r="R523" s="18"/>
      <c r="S523" s="18"/>
      <c r="AH523" s="28"/>
      <c r="AL523" s="28"/>
    </row>
    <row r="524" x14ac:dyDescent="0.25">
      <c r="H524" s="18"/>
      <c r="I524" s="18"/>
      <c r="J524" s="18"/>
      <c r="R524" s="18"/>
      <c r="S524" s="18"/>
      <c r="AH524" s="28"/>
      <c r="AL524" s="28"/>
    </row>
    <row r="525" x14ac:dyDescent="0.25">
      <c r="H525" s="18"/>
      <c r="I525" s="18"/>
      <c r="J525" s="18"/>
      <c r="R525" s="18"/>
      <c r="S525" s="18"/>
      <c r="AH525" s="28"/>
      <c r="AL525" s="28"/>
    </row>
    <row r="526" x14ac:dyDescent="0.25">
      <c r="H526" s="18"/>
      <c r="I526" s="18"/>
      <c r="J526" s="18"/>
      <c r="R526" s="18"/>
      <c r="S526" s="18"/>
      <c r="AH526" s="28"/>
      <c r="AL526" s="28"/>
    </row>
    <row r="527" x14ac:dyDescent="0.25">
      <c r="H527" s="18"/>
      <c r="I527" s="18"/>
      <c r="J527" s="18"/>
      <c r="R527" s="18"/>
      <c r="S527" s="18"/>
      <c r="AH527" s="28"/>
      <c r="AL527" s="28"/>
    </row>
    <row r="528" x14ac:dyDescent="0.25">
      <c r="H528" s="18"/>
      <c r="I528" s="18"/>
      <c r="J528" s="18"/>
      <c r="R528" s="18"/>
      <c r="S528" s="18"/>
      <c r="AH528" s="28"/>
      <c r="AL528" s="28"/>
    </row>
    <row r="529" x14ac:dyDescent="0.25">
      <c r="H529" s="18"/>
      <c r="I529" s="18"/>
      <c r="J529" s="18"/>
      <c r="R529" s="18"/>
      <c r="S529" s="18"/>
      <c r="AH529" s="28"/>
      <c r="AL529" s="28"/>
    </row>
    <row r="530" x14ac:dyDescent="0.25">
      <c r="H530" s="18"/>
      <c r="I530" s="18"/>
      <c r="J530" s="18"/>
      <c r="R530" s="18"/>
      <c r="S530" s="18"/>
      <c r="AH530" s="28"/>
      <c r="AL530" s="28"/>
    </row>
    <row r="531" x14ac:dyDescent="0.25">
      <c r="H531" s="18"/>
      <c r="I531" s="18"/>
      <c r="J531" s="18"/>
      <c r="R531" s="18"/>
      <c r="S531" s="18"/>
      <c r="AH531" s="28"/>
      <c r="AL531" s="28"/>
    </row>
    <row r="532" x14ac:dyDescent="0.25">
      <c r="H532" s="18"/>
      <c r="I532" s="18"/>
      <c r="J532" s="18"/>
      <c r="R532" s="18"/>
      <c r="S532" s="18"/>
      <c r="AH532" s="28"/>
      <c r="AL532" s="28"/>
    </row>
    <row r="533" x14ac:dyDescent="0.25">
      <c r="H533" s="18"/>
      <c r="I533" s="18"/>
      <c r="J533" s="18"/>
      <c r="R533" s="18"/>
      <c r="S533" s="18"/>
      <c r="AH533" s="28"/>
      <c r="AL533" s="28"/>
    </row>
    <row r="534" x14ac:dyDescent="0.25">
      <c r="H534" s="18"/>
      <c r="I534" s="18"/>
      <c r="J534" s="18"/>
      <c r="R534" s="18"/>
      <c r="S534" s="18"/>
      <c r="AH534" s="28"/>
      <c r="AL534" s="28"/>
    </row>
    <row r="535" x14ac:dyDescent="0.25">
      <c r="H535" s="18"/>
      <c r="I535" s="18"/>
      <c r="J535" s="18"/>
      <c r="R535" s="18"/>
      <c r="S535" s="18"/>
      <c r="AH535" s="28"/>
      <c r="AL535" s="28"/>
    </row>
    <row r="536" x14ac:dyDescent="0.25">
      <c r="H536" s="18"/>
      <c r="I536" s="18"/>
      <c r="J536" s="18"/>
      <c r="R536" s="18"/>
      <c r="S536" s="18"/>
      <c r="AH536" s="28"/>
      <c r="AL536" s="28"/>
    </row>
    <row r="537" x14ac:dyDescent="0.25">
      <c r="H537" s="18"/>
      <c r="I537" s="18"/>
      <c r="J537" s="18"/>
      <c r="R537" s="18"/>
      <c r="S537" s="18"/>
      <c r="AH537" s="28"/>
      <c r="AL537" s="28"/>
    </row>
    <row r="538" x14ac:dyDescent="0.25">
      <c r="H538" s="18"/>
      <c r="I538" s="18"/>
      <c r="J538" s="18"/>
      <c r="R538" s="18"/>
      <c r="S538" s="18"/>
      <c r="AH538" s="28"/>
      <c r="AL538" s="28"/>
    </row>
    <row r="539" x14ac:dyDescent="0.25">
      <c r="H539" s="18"/>
      <c r="I539" s="18"/>
      <c r="J539" s="18"/>
      <c r="R539" s="18"/>
      <c r="S539" s="18"/>
      <c r="AH539" s="28"/>
      <c r="AL539" s="28"/>
    </row>
    <row r="540" x14ac:dyDescent="0.25">
      <c r="H540" s="18"/>
      <c r="I540" s="18"/>
      <c r="J540" s="18"/>
      <c r="R540" s="18"/>
      <c r="S540" s="18"/>
      <c r="AH540" s="28"/>
      <c r="AL540" s="28"/>
    </row>
    <row r="541" x14ac:dyDescent="0.25">
      <c r="H541" s="18"/>
      <c r="I541" s="18"/>
      <c r="J541" s="18"/>
      <c r="R541" s="18"/>
      <c r="S541" s="18"/>
      <c r="AH541" s="28"/>
      <c r="AL541" s="28"/>
    </row>
    <row r="542" x14ac:dyDescent="0.25">
      <c r="H542" s="18"/>
      <c r="I542" s="18"/>
      <c r="J542" s="18"/>
      <c r="R542" s="18"/>
      <c r="S542" s="18"/>
      <c r="AH542" s="28"/>
      <c r="AL542" s="28"/>
    </row>
    <row r="543" x14ac:dyDescent="0.25">
      <c r="H543" s="18"/>
      <c r="I543" s="18"/>
      <c r="J543" s="18"/>
      <c r="R543" s="18"/>
      <c r="S543" s="18"/>
      <c r="AH543" s="28"/>
      <c r="AL543" s="28"/>
    </row>
    <row r="544" x14ac:dyDescent="0.25">
      <c r="H544" s="18"/>
      <c r="I544" s="18"/>
      <c r="J544" s="18"/>
      <c r="R544" s="18"/>
      <c r="S544" s="18"/>
      <c r="AH544" s="28"/>
      <c r="AL544" s="28"/>
    </row>
    <row r="545" x14ac:dyDescent="0.25">
      <c r="H545" s="18"/>
      <c r="I545" s="18"/>
      <c r="J545" s="18"/>
      <c r="R545" s="18"/>
      <c r="S545" s="18"/>
      <c r="AH545" s="28"/>
      <c r="AL545" s="28"/>
    </row>
    <row r="546" x14ac:dyDescent="0.25">
      <c r="H546" s="18"/>
      <c r="I546" s="18"/>
      <c r="J546" s="18"/>
      <c r="R546" s="18"/>
      <c r="S546" s="18"/>
      <c r="AH546" s="28"/>
      <c r="AL546" s="28"/>
    </row>
    <row r="547" x14ac:dyDescent="0.25">
      <c r="H547" s="18"/>
      <c r="I547" s="18"/>
      <c r="J547" s="18"/>
      <c r="R547" s="18"/>
      <c r="S547" s="18"/>
      <c r="AH547" s="28"/>
      <c r="AL547" s="28"/>
    </row>
    <row r="548" x14ac:dyDescent="0.25">
      <c r="H548" s="18"/>
      <c r="I548" s="18"/>
      <c r="J548" s="18"/>
      <c r="R548" s="18"/>
      <c r="S548" s="18"/>
      <c r="AH548" s="28"/>
      <c r="AL548" s="28"/>
    </row>
    <row r="549" x14ac:dyDescent="0.25">
      <c r="H549" s="18"/>
      <c r="I549" s="18"/>
      <c r="J549" s="18"/>
      <c r="R549" s="18"/>
      <c r="S549" s="18"/>
      <c r="AH549" s="28"/>
      <c r="AL549" s="28"/>
    </row>
    <row r="550" x14ac:dyDescent="0.25">
      <c r="H550" s="18"/>
      <c r="I550" s="18"/>
      <c r="J550" s="18"/>
      <c r="R550" s="18"/>
      <c r="S550" s="18"/>
      <c r="AH550" s="28"/>
      <c r="AL550" s="28"/>
    </row>
    <row r="551" x14ac:dyDescent="0.25">
      <c r="H551" s="18"/>
      <c r="I551" s="18"/>
      <c r="J551" s="18"/>
      <c r="R551" s="18"/>
      <c r="S551" s="18"/>
      <c r="AH551" s="28"/>
      <c r="AL551" s="28"/>
    </row>
    <row r="552" x14ac:dyDescent="0.25">
      <c r="H552" s="18"/>
      <c r="I552" s="18"/>
      <c r="J552" s="18"/>
      <c r="R552" s="18"/>
      <c r="S552" s="18"/>
      <c r="AH552" s="28"/>
      <c r="AL552" s="28"/>
    </row>
    <row r="553" x14ac:dyDescent="0.25">
      <c r="H553" s="18"/>
      <c r="I553" s="18"/>
      <c r="J553" s="18"/>
      <c r="R553" s="18"/>
      <c r="S553" s="18"/>
      <c r="AH553" s="28"/>
      <c r="AL553" s="28"/>
    </row>
    <row r="554" x14ac:dyDescent="0.25">
      <c r="H554" s="18"/>
      <c r="I554" s="18"/>
      <c r="J554" s="18"/>
      <c r="R554" s="18"/>
      <c r="S554" s="18"/>
      <c r="AH554" s="28"/>
      <c r="AL554" s="28"/>
    </row>
    <row r="555" x14ac:dyDescent="0.25">
      <c r="H555" s="18"/>
      <c r="I555" s="18"/>
      <c r="J555" s="18"/>
      <c r="R555" s="18"/>
      <c r="S555" s="18"/>
      <c r="AH555" s="28"/>
      <c r="AL555" s="28"/>
    </row>
    <row r="556" x14ac:dyDescent="0.25">
      <c r="H556" s="18"/>
      <c r="I556" s="18"/>
      <c r="J556" s="18"/>
      <c r="R556" s="18"/>
      <c r="S556" s="18"/>
      <c r="AH556" s="28"/>
      <c r="AL556" s="28"/>
    </row>
    <row r="557" x14ac:dyDescent="0.25">
      <c r="H557" s="18"/>
      <c r="I557" s="18"/>
      <c r="J557" s="18"/>
      <c r="R557" s="18"/>
      <c r="S557" s="18"/>
      <c r="AH557" s="28"/>
      <c r="AL557" s="28"/>
    </row>
    <row r="558" x14ac:dyDescent="0.25">
      <c r="H558" s="18"/>
      <c r="I558" s="18"/>
      <c r="J558" s="18"/>
      <c r="R558" s="18"/>
      <c r="S558" s="18"/>
      <c r="AH558" s="28"/>
      <c r="AL558" s="28"/>
    </row>
    <row r="559" x14ac:dyDescent="0.25">
      <c r="H559" s="18"/>
      <c r="I559" s="18"/>
      <c r="J559" s="18"/>
      <c r="R559" s="18"/>
      <c r="S559" s="18"/>
      <c r="AH559" s="28"/>
      <c r="AL559" s="28"/>
    </row>
    <row r="560" x14ac:dyDescent="0.25">
      <c r="H560" s="18"/>
      <c r="I560" s="18"/>
      <c r="J560" s="18"/>
      <c r="R560" s="18"/>
      <c r="S560" s="18"/>
      <c r="AH560" s="28"/>
      <c r="AL560" s="28"/>
    </row>
    <row r="561" x14ac:dyDescent="0.25">
      <c r="H561" s="18"/>
      <c r="I561" s="18"/>
      <c r="J561" s="18"/>
      <c r="R561" s="18"/>
      <c r="S561" s="18"/>
      <c r="AH561" s="28"/>
      <c r="AL561" s="28"/>
    </row>
    <row r="562" x14ac:dyDescent="0.25">
      <c r="H562" s="18"/>
      <c r="I562" s="18"/>
      <c r="J562" s="18"/>
      <c r="R562" s="18"/>
      <c r="S562" s="18"/>
      <c r="AH562" s="28"/>
      <c r="AL562" s="28"/>
    </row>
    <row r="563" x14ac:dyDescent="0.25">
      <c r="H563" s="18"/>
      <c r="I563" s="18"/>
      <c r="J563" s="18"/>
      <c r="R563" s="18"/>
      <c r="S563" s="18"/>
      <c r="AH563" s="28"/>
      <c r="AL563" s="28"/>
    </row>
    <row r="564" x14ac:dyDescent="0.25">
      <c r="H564" s="18"/>
      <c r="I564" s="18"/>
      <c r="J564" s="18"/>
      <c r="R564" s="18"/>
      <c r="S564" s="18"/>
      <c r="AH564" s="28"/>
      <c r="AL564" s="28"/>
    </row>
    <row r="565" x14ac:dyDescent="0.25">
      <c r="H565" s="18"/>
      <c r="I565" s="18"/>
      <c r="J565" s="18"/>
      <c r="R565" s="18"/>
      <c r="S565" s="18"/>
      <c r="AH565" s="28"/>
      <c r="AL565" s="28"/>
    </row>
    <row r="566" x14ac:dyDescent="0.25">
      <c r="H566" s="18"/>
      <c r="I566" s="18"/>
      <c r="J566" s="18"/>
      <c r="R566" s="18"/>
      <c r="S566" s="18"/>
      <c r="AH566" s="28"/>
      <c r="AL566" s="28"/>
    </row>
    <row r="567" x14ac:dyDescent="0.25">
      <c r="H567" s="18"/>
      <c r="I567" s="18"/>
      <c r="J567" s="18"/>
      <c r="R567" s="18"/>
      <c r="S567" s="18"/>
      <c r="AH567" s="28"/>
      <c r="AL567" s="28"/>
    </row>
    <row r="568" x14ac:dyDescent="0.25">
      <c r="H568" s="18"/>
      <c r="I568" s="18"/>
      <c r="J568" s="18"/>
      <c r="R568" s="18"/>
      <c r="S568" s="18"/>
      <c r="AH568" s="28"/>
      <c r="AL568" s="28"/>
    </row>
    <row r="569" x14ac:dyDescent="0.25">
      <c r="H569" s="18"/>
      <c r="I569" s="18"/>
      <c r="J569" s="18"/>
      <c r="R569" s="18"/>
      <c r="S569" s="18"/>
      <c r="AH569" s="28"/>
      <c r="AL569" s="28"/>
    </row>
    <row r="570" x14ac:dyDescent="0.25">
      <c r="H570" s="18"/>
      <c r="I570" s="18"/>
      <c r="J570" s="18"/>
      <c r="R570" s="18"/>
      <c r="S570" s="18"/>
      <c r="AH570" s="28"/>
      <c r="AL570" s="28"/>
    </row>
    <row r="571" x14ac:dyDescent="0.25">
      <c r="H571" s="18"/>
      <c r="I571" s="18"/>
      <c r="J571" s="18"/>
      <c r="R571" s="18"/>
      <c r="S571" s="18"/>
      <c r="AH571" s="28"/>
      <c r="AL571" s="28"/>
    </row>
    <row r="572" x14ac:dyDescent="0.25">
      <c r="H572" s="18"/>
      <c r="I572" s="18"/>
      <c r="J572" s="18"/>
      <c r="R572" s="18"/>
      <c r="S572" s="18"/>
      <c r="AH572" s="28"/>
      <c r="AL572" s="28"/>
    </row>
    <row r="573" x14ac:dyDescent="0.25">
      <c r="H573" s="18"/>
      <c r="I573" s="18"/>
      <c r="J573" s="18"/>
      <c r="R573" s="18"/>
      <c r="S573" s="18"/>
      <c r="AH573" s="28"/>
      <c r="AL573" s="28"/>
    </row>
    <row r="574" x14ac:dyDescent="0.25">
      <c r="H574" s="18"/>
      <c r="I574" s="18"/>
      <c r="J574" s="18"/>
      <c r="R574" s="18"/>
      <c r="S574" s="18"/>
      <c r="AH574" s="28"/>
      <c r="AL574" s="28"/>
    </row>
    <row r="575" x14ac:dyDescent="0.25">
      <c r="H575" s="18"/>
      <c r="I575" s="18"/>
      <c r="J575" s="18"/>
      <c r="R575" s="18"/>
      <c r="S575" s="18"/>
      <c r="AH575" s="28"/>
      <c r="AL575" s="28"/>
    </row>
    <row r="576" x14ac:dyDescent="0.25">
      <c r="H576" s="18"/>
      <c r="I576" s="18"/>
      <c r="J576" s="18"/>
      <c r="R576" s="18"/>
      <c r="S576" s="18"/>
      <c r="AH576" s="28"/>
      <c r="AL576" s="28"/>
    </row>
    <row r="577" x14ac:dyDescent="0.25">
      <c r="H577" s="18"/>
      <c r="I577" s="18"/>
      <c r="J577" s="18"/>
      <c r="R577" s="18"/>
      <c r="S577" s="18"/>
      <c r="AH577" s="28"/>
      <c r="AL577" s="28"/>
    </row>
    <row r="578" x14ac:dyDescent="0.25">
      <c r="H578" s="18"/>
      <c r="I578" s="18"/>
      <c r="J578" s="18"/>
      <c r="R578" s="18"/>
      <c r="S578" s="18"/>
      <c r="AH578" s="28"/>
      <c r="AL578" s="28"/>
    </row>
    <row r="579" x14ac:dyDescent="0.25">
      <c r="H579" s="18"/>
      <c r="I579" s="18"/>
      <c r="J579" s="18"/>
      <c r="R579" s="18"/>
      <c r="S579" s="18"/>
      <c r="AH579" s="28"/>
      <c r="AL579" s="28"/>
    </row>
    <row r="580" x14ac:dyDescent="0.25">
      <c r="H580" s="18"/>
      <c r="I580" s="18"/>
      <c r="J580" s="18"/>
      <c r="R580" s="18"/>
      <c r="S580" s="18"/>
      <c r="AH580" s="28"/>
      <c r="AL580" s="28"/>
    </row>
    <row r="581" x14ac:dyDescent="0.25">
      <c r="H581" s="18"/>
      <c r="I581" s="18"/>
      <c r="J581" s="18"/>
      <c r="R581" s="18"/>
      <c r="S581" s="18"/>
      <c r="AH581" s="28"/>
      <c r="AL581" s="28"/>
    </row>
    <row r="582" x14ac:dyDescent="0.25">
      <c r="H582" s="18"/>
      <c r="I582" s="18"/>
      <c r="J582" s="18"/>
      <c r="R582" s="18"/>
      <c r="S582" s="18"/>
      <c r="AH582" s="28"/>
      <c r="AL582" s="28"/>
    </row>
    <row r="583" x14ac:dyDescent="0.25">
      <c r="H583" s="18"/>
      <c r="I583" s="18"/>
      <c r="J583" s="18"/>
      <c r="R583" s="18"/>
      <c r="S583" s="18"/>
      <c r="AH583" s="28"/>
      <c r="AL583" s="28"/>
    </row>
    <row r="584" x14ac:dyDescent="0.25">
      <c r="H584" s="18"/>
      <c r="I584" s="18"/>
      <c r="J584" s="18"/>
      <c r="R584" s="18"/>
      <c r="S584" s="18"/>
      <c r="AH584" s="28"/>
      <c r="AL584" s="28"/>
    </row>
    <row r="585" x14ac:dyDescent="0.25">
      <c r="H585" s="18"/>
      <c r="I585" s="18"/>
      <c r="J585" s="18"/>
      <c r="R585" s="18"/>
      <c r="S585" s="18"/>
      <c r="AH585" s="28"/>
      <c r="AL585" s="28"/>
    </row>
    <row r="586" x14ac:dyDescent="0.25">
      <c r="H586" s="18"/>
      <c r="I586" s="18"/>
      <c r="J586" s="18"/>
      <c r="R586" s="18"/>
      <c r="S586" s="18"/>
      <c r="AH586" s="28"/>
      <c r="AL586" s="28"/>
    </row>
    <row r="587" x14ac:dyDescent="0.25">
      <c r="H587" s="18"/>
      <c r="I587" s="18"/>
      <c r="J587" s="18"/>
      <c r="R587" s="18"/>
      <c r="S587" s="18"/>
      <c r="AH587" s="28"/>
      <c r="AL587" s="28"/>
    </row>
    <row r="588" x14ac:dyDescent="0.25">
      <c r="H588" s="18"/>
      <c r="I588" s="18"/>
      <c r="J588" s="18"/>
      <c r="R588" s="18"/>
      <c r="S588" s="18"/>
      <c r="AH588" s="28"/>
      <c r="AL588" s="28"/>
    </row>
    <row r="589" x14ac:dyDescent="0.25">
      <c r="H589" s="18"/>
      <c r="I589" s="18"/>
      <c r="J589" s="18"/>
      <c r="R589" s="18"/>
      <c r="S589" s="18"/>
      <c r="AH589" s="28"/>
      <c r="AL589" s="28"/>
    </row>
    <row r="590" x14ac:dyDescent="0.25">
      <c r="H590" s="18"/>
      <c r="I590" s="18"/>
      <c r="J590" s="18"/>
      <c r="R590" s="18"/>
      <c r="S590" s="18"/>
      <c r="AH590" s="28"/>
      <c r="AL590" s="28"/>
    </row>
    <row r="591" x14ac:dyDescent="0.25">
      <c r="H591" s="18"/>
      <c r="I591" s="18"/>
      <c r="J591" s="18"/>
      <c r="R591" s="18"/>
      <c r="S591" s="18"/>
      <c r="AH591" s="28"/>
      <c r="AL591" s="28"/>
    </row>
    <row r="592" x14ac:dyDescent="0.25">
      <c r="H592" s="18"/>
      <c r="I592" s="18"/>
      <c r="J592" s="18"/>
      <c r="R592" s="18"/>
      <c r="S592" s="18"/>
      <c r="AH592" s="28"/>
      <c r="AL592" s="28"/>
    </row>
    <row r="593" x14ac:dyDescent="0.25">
      <c r="H593" s="18"/>
      <c r="I593" s="18"/>
      <c r="J593" s="18"/>
      <c r="R593" s="18"/>
      <c r="S593" s="18"/>
      <c r="AH593" s="28"/>
      <c r="AL593" s="28"/>
    </row>
    <row r="594" x14ac:dyDescent="0.25">
      <c r="H594" s="18"/>
      <c r="I594" s="18"/>
      <c r="J594" s="18"/>
      <c r="R594" s="18"/>
      <c r="S594" s="18"/>
      <c r="AH594" s="28"/>
      <c r="AL594" s="28"/>
    </row>
    <row r="595" x14ac:dyDescent="0.25">
      <c r="H595" s="18"/>
      <c r="I595" s="18"/>
      <c r="J595" s="18"/>
      <c r="R595" s="18"/>
      <c r="S595" s="18"/>
      <c r="AH595" s="28"/>
      <c r="AL595" s="28"/>
    </row>
    <row r="596" x14ac:dyDescent="0.25">
      <c r="H596" s="18"/>
      <c r="I596" s="18"/>
      <c r="J596" s="18"/>
      <c r="R596" s="18"/>
      <c r="S596" s="18"/>
      <c r="AH596" s="28"/>
      <c r="AL596" s="28"/>
    </row>
    <row r="597" x14ac:dyDescent="0.25">
      <c r="H597" s="18"/>
      <c r="I597" s="18"/>
      <c r="J597" s="18"/>
      <c r="R597" s="18"/>
      <c r="S597" s="18"/>
      <c r="AH597" s="28"/>
      <c r="AL597" s="28"/>
    </row>
    <row r="598" x14ac:dyDescent="0.25">
      <c r="H598" s="18"/>
      <c r="I598" s="18"/>
      <c r="J598" s="18"/>
      <c r="R598" s="18"/>
      <c r="S598" s="18"/>
      <c r="AH598" s="28"/>
      <c r="AL598" s="28"/>
    </row>
    <row r="599" x14ac:dyDescent="0.25">
      <c r="H599" s="18"/>
      <c r="I599" s="18"/>
      <c r="J599" s="18"/>
      <c r="R599" s="18"/>
      <c r="S599" s="18"/>
      <c r="AH599" s="28"/>
      <c r="AL599" s="28"/>
    </row>
    <row r="600" x14ac:dyDescent="0.25">
      <c r="H600" s="18"/>
      <c r="I600" s="18"/>
      <c r="J600" s="18"/>
      <c r="R600" s="18"/>
      <c r="S600" s="18"/>
      <c r="AH600" s="28"/>
      <c r="AL600" s="28"/>
    </row>
    <row r="601" x14ac:dyDescent="0.25">
      <c r="H601" s="18"/>
      <c r="I601" s="18"/>
      <c r="J601" s="18"/>
      <c r="R601" s="18"/>
      <c r="S601" s="18"/>
      <c r="AH601" s="28"/>
      <c r="AL601" s="28"/>
    </row>
    <row r="602" x14ac:dyDescent="0.25">
      <c r="H602" s="18"/>
      <c r="I602" s="18"/>
      <c r="J602" s="18"/>
      <c r="R602" s="18"/>
      <c r="S602" s="18"/>
      <c r="AH602" s="28"/>
      <c r="AL602" s="28"/>
    </row>
    <row r="603" x14ac:dyDescent="0.25">
      <c r="H603" s="18"/>
      <c r="I603" s="18"/>
      <c r="J603" s="18"/>
      <c r="R603" s="18"/>
      <c r="S603" s="18"/>
      <c r="AH603" s="28"/>
      <c r="AL603" s="28"/>
    </row>
    <row r="604" x14ac:dyDescent="0.25">
      <c r="H604" s="18"/>
      <c r="I604" s="18"/>
      <c r="J604" s="18"/>
      <c r="R604" s="18"/>
      <c r="S604" s="18"/>
      <c r="AH604" s="28"/>
      <c r="AL604" s="28"/>
    </row>
    <row r="605" x14ac:dyDescent="0.25">
      <c r="H605" s="18"/>
      <c r="I605" s="18"/>
      <c r="J605" s="18"/>
      <c r="R605" s="18"/>
      <c r="S605" s="18"/>
      <c r="AH605" s="28"/>
      <c r="AL605" s="28"/>
    </row>
    <row r="606" x14ac:dyDescent="0.25">
      <c r="H606" s="18"/>
      <c r="I606" s="18"/>
      <c r="J606" s="18"/>
      <c r="R606" s="18"/>
      <c r="S606" s="18"/>
      <c r="AH606" s="28"/>
      <c r="AL606" s="28"/>
    </row>
    <row r="607" x14ac:dyDescent="0.25">
      <c r="H607" s="18"/>
      <c r="I607" s="18"/>
      <c r="J607" s="18"/>
      <c r="R607" s="18"/>
      <c r="S607" s="18"/>
      <c r="AH607" s="28"/>
      <c r="AL607" s="28"/>
    </row>
    <row r="608" x14ac:dyDescent="0.25">
      <c r="H608" s="18"/>
      <c r="I608" s="18"/>
      <c r="J608" s="18"/>
      <c r="R608" s="18"/>
      <c r="S608" s="18"/>
      <c r="AH608" s="28"/>
      <c r="AL608" s="28"/>
    </row>
    <row r="609" x14ac:dyDescent="0.25">
      <c r="H609" s="18"/>
      <c r="I609" s="18"/>
      <c r="J609" s="18"/>
      <c r="R609" s="18"/>
      <c r="S609" s="18"/>
      <c r="AH609" s="28"/>
      <c r="AL609" s="28"/>
    </row>
    <row r="610" x14ac:dyDescent="0.25">
      <c r="H610" s="18"/>
      <c r="I610" s="18"/>
      <c r="J610" s="18"/>
      <c r="R610" s="18"/>
      <c r="S610" s="18"/>
      <c r="AH610" s="28"/>
      <c r="AL610" s="28"/>
    </row>
    <row r="611" x14ac:dyDescent="0.25">
      <c r="H611" s="18"/>
      <c r="I611" s="18"/>
      <c r="J611" s="18"/>
      <c r="R611" s="18"/>
      <c r="S611" s="18"/>
      <c r="AH611" s="28"/>
      <c r="AL611" s="28"/>
    </row>
    <row r="612" x14ac:dyDescent="0.25">
      <c r="H612" s="18"/>
      <c r="I612" s="18"/>
      <c r="J612" s="18"/>
      <c r="R612" s="18"/>
      <c r="S612" s="18"/>
      <c r="AH612" s="28"/>
      <c r="AL612" s="28"/>
    </row>
    <row r="613" x14ac:dyDescent="0.25">
      <c r="H613" s="18"/>
      <c r="I613" s="18"/>
      <c r="J613" s="18"/>
      <c r="R613" s="18"/>
      <c r="S613" s="18"/>
      <c r="AH613" s="28"/>
      <c r="AL613" s="28"/>
    </row>
    <row r="614" x14ac:dyDescent="0.25">
      <c r="H614" s="18"/>
      <c r="I614" s="18"/>
      <c r="J614" s="18"/>
      <c r="R614" s="18"/>
      <c r="S614" s="18"/>
      <c r="AH614" s="28"/>
      <c r="AL614" s="28"/>
    </row>
    <row r="615" x14ac:dyDescent="0.25">
      <c r="H615" s="18"/>
      <c r="I615" s="18"/>
      <c r="J615" s="18"/>
      <c r="R615" s="18"/>
      <c r="S615" s="18"/>
      <c r="AH615" s="28"/>
      <c r="AL615" s="28"/>
    </row>
    <row r="616" x14ac:dyDescent="0.25">
      <c r="H616" s="18"/>
      <c r="I616" s="18"/>
      <c r="J616" s="18"/>
      <c r="R616" s="18"/>
      <c r="S616" s="18"/>
      <c r="AH616" s="28"/>
      <c r="AL616" s="28"/>
    </row>
    <row r="617" x14ac:dyDescent="0.25">
      <c r="H617" s="18"/>
      <c r="I617" s="18"/>
      <c r="J617" s="18"/>
      <c r="R617" s="18"/>
      <c r="S617" s="18"/>
      <c r="AH617" s="28"/>
      <c r="AL617" s="28"/>
    </row>
    <row r="618" x14ac:dyDescent="0.25">
      <c r="H618" s="18"/>
      <c r="I618" s="18"/>
      <c r="J618" s="18"/>
      <c r="R618" s="18"/>
      <c r="S618" s="18"/>
      <c r="AH618" s="28"/>
      <c r="AL618" s="28"/>
    </row>
    <row r="619" x14ac:dyDescent="0.25">
      <c r="H619" s="18"/>
      <c r="I619" s="18"/>
      <c r="J619" s="18"/>
      <c r="R619" s="18"/>
      <c r="S619" s="18"/>
      <c r="AH619" s="28"/>
      <c r="AL619" s="28"/>
    </row>
    <row r="620" x14ac:dyDescent="0.25">
      <c r="H620" s="18"/>
      <c r="I620" s="18"/>
      <c r="J620" s="18"/>
      <c r="R620" s="18"/>
      <c r="S620" s="18"/>
      <c r="AH620" s="28"/>
      <c r="AL620" s="28"/>
    </row>
    <row r="621" x14ac:dyDescent="0.25">
      <c r="H621" s="18"/>
      <c r="I621" s="18"/>
      <c r="J621" s="18"/>
      <c r="R621" s="18"/>
      <c r="S621" s="18"/>
      <c r="AH621" s="28"/>
      <c r="AL621" s="28"/>
    </row>
    <row r="622" x14ac:dyDescent="0.25">
      <c r="H622" s="18"/>
      <c r="I622" s="18"/>
      <c r="J622" s="18"/>
      <c r="R622" s="18"/>
      <c r="S622" s="18"/>
      <c r="AH622" s="28"/>
      <c r="AL622" s="28"/>
    </row>
    <row r="623" x14ac:dyDescent="0.25">
      <c r="H623" s="18"/>
      <c r="I623" s="18"/>
      <c r="J623" s="18"/>
      <c r="R623" s="18"/>
      <c r="S623" s="18"/>
      <c r="AH623" s="28"/>
      <c r="AL623" s="28"/>
    </row>
    <row r="624" x14ac:dyDescent="0.25">
      <c r="H624" s="18"/>
      <c r="I624" s="18"/>
      <c r="J624" s="18"/>
      <c r="R624" s="18"/>
      <c r="S624" s="18"/>
      <c r="AH624" s="28"/>
      <c r="AL624" s="28"/>
    </row>
    <row r="625" x14ac:dyDescent="0.25">
      <c r="H625" s="18"/>
      <c r="I625" s="18"/>
      <c r="J625" s="18"/>
      <c r="R625" s="18"/>
      <c r="S625" s="18"/>
      <c r="AH625" s="28"/>
      <c r="AL625" s="28"/>
    </row>
    <row r="626" x14ac:dyDescent="0.25">
      <c r="H626" s="18"/>
      <c r="I626" s="18"/>
      <c r="J626" s="18"/>
      <c r="R626" s="18"/>
      <c r="S626" s="18"/>
      <c r="AH626" s="28"/>
      <c r="AL626" s="28"/>
    </row>
    <row r="627" x14ac:dyDescent="0.25">
      <c r="H627" s="18"/>
      <c r="I627" s="18"/>
      <c r="J627" s="18"/>
      <c r="R627" s="18"/>
      <c r="S627" s="18"/>
      <c r="AH627" s="28"/>
      <c r="AL627" s="28"/>
    </row>
    <row r="628" x14ac:dyDescent="0.25">
      <c r="H628" s="18"/>
      <c r="I628" s="18"/>
      <c r="J628" s="18"/>
      <c r="R628" s="18"/>
      <c r="S628" s="18"/>
      <c r="AH628" s="28"/>
      <c r="AL628" s="28"/>
    </row>
    <row r="629" x14ac:dyDescent="0.25">
      <c r="H629" s="18"/>
      <c r="I629" s="18"/>
      <c r="J629" s="18"/>
      <c r="R629" s="18"/>
      <c r="S629" s="18"/>
      <c r="AH629" s="28"/>
      <c r="AL629" s="28"/>
    </row>
    <row r="630" x14ac:dyDescent="0.25">
      <c r="H630" s="18"/>
      <c r="I630" s="18"/>
      <c r="J630" s="18"/>
      <c r="R630" s="18"/>
      <c r="S630" s="18"/>
      <c r="AH630" s="28"/>
      <c r="AL630" s="28"/>
    </row>
    <row r="631" x14ac:dyDescent="0.25">
      <c r="H631" s="18"/>
      <c r="I631" s="18"/>
      <c r="J631" s="18"/>
      <c r="R631" s="18"/>
      <c r="S631" s="18"/>
      <c r="AH631" s="28"/>
      <c r="AL631" s="28"/>
    </row>
    <row r="632" x14ac:dyDescent="0.25">
      <c r="H632" s="18"/>
      <c r="I632" s="18"/>
      <c r="J632" s="18"/>
      <c r="R632" s="18"/>
      <c r="S632" s="18"/>
      <c r="AH632" s="28"/>
      <c r="AL632" s="28"/>
    </row>
    <row r="633" x14ac:dyDescent="0.25">
      <c r="H633" s="18"/>
      <c r="I633" s="18"/>
      <c r="J633" s="18"/>
      <c r="R633" s="18"/>
      <c r="S633" s="18"/>
      <c r="AH633" s="28"/>
      <c r="AL633" s="28"/>
    </row>
    <row r="634" x14ac:dyDescent="0.25">
      <c r="H634" s="18"/>
      <c r="I634" s="18"/>
      <c r="J634" s="18"/>
      <c r="R634" s="18"/>
      <c r="S634" s="18"/>
      <c r="AH634" s="28"/>
      <c r="AL634" s="28"/>
    </row>
    <row r="635" x14ac:dyDescent="0.25">
      <c r="H635" s="18"/>
      <c r="I635" s="18"/>
      <c r="J635" s="18"/>
      <c r="R635" s="18"/>
      <c r="S635" s="18"/>
      <c r="AH635" s="28"/>
      <c r="AL635" s="28"/>
    </row>
    <row r="636" x14ac:dyDescent="0.25">
      <c r="H636" s="18"/>
      <c r="I636" s="18"/>
      <c r="J636" s="18"/>
      <c r="R636" s="18"/>
      <c r="S636" s="18"/>
      <c r="AH636" s="28"/>
      <c r="AL636" s="28"/>
    </row>
    <row r="637" x14ac:dyDescent="0.25">
      <c r="H637" s="18"/>
      <c r="I637" s="18"/>
      <c r="J637" s="18"/>
      <c r="R637" s="18"/>
      <c r="S637" s="18"/>
      <c r="AH637" s="28"/>
      <c r="AL637" s="28"/>
    </row>
    <row r="638" x14ac:dyDescent="0.25">
      <c r="H638" s="18"/>
      <c r="I638" s="18"/>
      <c r="J638" s="18"/>
      <c r="R638" s="18"/>
      <c r="S638" s="18"/>
      <c r="AH638" s="28"/>
      <c r="AL638" s="28"/>
    </row>
    <row r="639" x14ac:dyDescent="0.25">
      <c r="H639" s="18"/>
      <c r="I639" s="18"/>
      <c r="J639" s="18"/>
      <c r="R639" s="18"/>
      <c r="S639" s="18"/>
      <c r="AH639" s="28"/>
      <c r="AL639" s="28"/>
    </row>
    <row r="640" x14ac:dyDescent="0.25">
      <c r="H640" s="18"/>
      <c r="I640" s="18"/>
      <c r="J640" s="18"/>
      <c r="R640" s="18"/>
      <c r="S640" s="18"/>
      <c r="AH640" s="28"/>
      <c r="AL640" s="28"/>
    </row>
    <row r="641" x14ac:dyDescent="0.25">
      <c r="H641" s="18"/>
      <c r="I641" s="18"/>
      <c r="J641" s="18"/>
      <c r="R641" s="18"/>
      <c r="S641" s="18"/>
      <c r="AH641" s="28"/>
      <c r="AL641" s="28"/>
    </row>
    <row r="642" x14ac:dyDescent="0.25">
      <c r="H642" s="18"/>
      <c r="I642" s="18"/>
      <c r="J642" s="18"/>
      <c r="R642" s="18"/>
      <c r="S642" s="18"/>
      <c r="AH642" s="28"/>
      <c r="AL642" s="28"/>
    </row>
    <row r="643" x14ac:dyDescent="0.25">
      <c r="H643" s="18"/>
      <c r="I643" s="18"/>
      <c r="J643" s="18"/>
      <c r="R643" s="18"/>
      <c r="S643" s="18"/>
      <c r="AH643" s="28"/>
      <c r="AL643" s="28"/>
    </row>
    <row r="644" x14ac:dyDescent="0.25">
      <c r="H644" s="18"/>
      <c r="I644" s="18"/>
      <c r="J644" s="18"/>
      <c r="R644" s="18"/>
      <c r="S644" s="18"/>
      <c r="AH644" s="28"/>
      <c r="AL644" s="28"/>
    </row>
    <row r="645" x14ac:dyDescent="0.25">
      <c r="H645" s="18"/>
      <c r="I645" s="18"/>
      <c r="J645" s="18"/>
      <c r="R645" s="18"/>
      <c r="S645" s="18"/>
      <c r="AH645" s="28"/>
      <c r="AL645" s="28"/>
    </row>
    <row r="646" x14ac:dyDescent="0.25">
      <c r="H646" s="18"/>
      <c r="I646" s="18"/>
      <c r="J646" s="18"/>
      <c r="R646" s="18"/>
      <c r="S646" s="18"/>
      <c r="AH646" s="28"/>
      <c r="AL646" s="28"/>
    </row>
    <row r="647" x14ac:dyDescent="0.25">
      <c r="H647" s="18"/>
      <c r="I647" s="18"/>
      <c r="J647" s="18"/>
      <c r="R647" s="18"/>
      <c r="S647" s="18"/>
      <c r="AH647" s="28"/>
      <c r="AL647" s="28"/>
    </row>
    <row r="648" x14ac:dyDescent="0.25">
      <c r="H648" s="18"/>
      <c r="I648" s="18"/>
      <c r="J648" s="18"/>
      <c r="R648" s="18"/>
      <c r="S648" s="18"/>
      <c r="AH648" s="28"/>
      <c r="AL648" s="28"/>
    </row>
    <row r="649" x14ac:dyDescent="0.25">
      <c r="H649" s="18"/>
      <c r="I649" s="18"/>
      <c r="J649" s="18"/>
      <c r="R649" s="18"/>
      <c r="S649" s="18"/>
      <c r="AH649" s="28"/>
      <c r="AL649" s="28"/>
    </row>
    <row r="650" x14ac:dyDescent="0.25">
      <c r="H650" s="18"/>
      <c r="I650" s="18"/>
      <c r="J650" s="18"/>
      <c r="R650" s="18"/>
      <c r="S650" s="18"/>
      <c r="AH650" s="28"/>
      <c r="AL650" s="28"/>
    </row>
    <row r="651" x14ac:dyDescent="0.25">
      <c r="H651" s="18"/>
      <c r="I651" s="18"/>
      <c r="J651" s="18"/>
      <c r="R651" s="18"/>
      <c r="S651" s="18"/>
      <c r="AH651" s="28"/>
      <c r="AL651" s="28"/>
    </row>
    <row r="652" x14ac:dyDescent="0.25">
      <c r="H652" s="18"/>
      <c r="I652" s="18"/>
      <c r="J652" s="18"/>
      <c r="R652" s="18"/>
      <c r="S652" s="18"/>
      <c r="AH652" s="28"/>
      <c r="AL652" s="28"/>
    </row>
    <row r="653" x14ac:dyDescent="0.25">
      <c r="H653" s="18"/>
      <c r="I653" s="18"/>
      <c r="J653" s="18"/>
      <c r="R653" s="18"/>
      <c r="S653" s="18"/>
      <c r="AH653" s="28"/>
      <c r="AL653" s="28"/>
    </row>
    <row r="654" x14ac:dyDescent="0.25">
      <c r="H654" s="18"/>
      <c r="I654" s="18"/>
      <c r="J654" s="18"/>
      <c r="R654" s="18"/>
      <c r="S654" s="18"/>
      <c r="AH654" s="28"/>
      <c r="AL654" s="28"/>
    </row>
    <row r="655" x14ac:dyDescent="0.25">
      <c r="H655" s="18"/>
      <c r="I655" s="18"/>
      <c r="J655" s="18"/>
      <c r="R655" s="18"/>
      <c r="S655" s="18"/>
      <c r="AH655" s="28"/>
      <c r="AL655" s="28"/>
    </row>
    <row r="656" x14ac:dyDescent="0.25">
      <c r="H656" s="18"/>
      <c r="I656" s="18"/>
      <c r="J656" s="18"/>
      <c r="R656" s="18"/>
      <c r="S656" s="18"/>
      <c r="AH656" s="28"/>
      <c r="AL656" s="28"/>
    </row>
    <row r="657" x14ac:dyDescent="0.25">
      <c r="H657" s="18"/>
      <c r="I657" s="18"/>
      <c r="J657" s="18"/>
      <c r="R657" s="18"/>
      <c r="S657" s="18"/>
      <c r="AH657" s="28"/>
      <c r="AL657" s="28"/>
    </row>
    <row r="658" x14ac:dyDescent="0.25">
      <c r="H658" s="18"/>
      <c r="I658" s="18"/>
      <c r="J658" s="18"/>
      <c r="R658" s="18"/>
      <c r="S658" s="18"/>
      <c r="AH658" s="28"/>
      <c r="AL658" s="28"/>
    </row>
    <row r="659" x14ac:dyDescent="0.25">
      <c r="H659" s="18"/>
      <c r="I659" s="18"/>
      <c r="J659" s="18"/>
      <c r="R659" s="18"/>
      <c r="S659" s="18"/>
      <c r="AH659" s="28"/>
      <c r="AL659" s="28"/>
    </row>
    <row r="660" x14ac:dyDescent="0.25">
      <c r="H660" s="18"/>
      <c r="I660" s="18"/>
      <c r="J660" s="18"/>
      <c r="R660" s="18"/>
      <c r="S660" s="18"/>
      <c r="AH660" s="28"/>
      <c r="AL660" s="28"/>
    </row>
    <row r="661" x14ac:dyDescent="0.25">
      <c r="H661" s="18"/>
      <c r="I661" s="18"/>
      <c r="J661" s="18"/>
      <c r="R661" s="18"/>
      <c r="S661" s="18"/>
      <c r="AH661" s="28"/>
      <c r="AL661" s="28"/>
    </row>
    <row r="662" x14ac:dyDescent="0.25">
      <c r="H662" s="18"/>
      <c r="I662" s="18"/>
      <c r="J662" s="18"/>
      <c r="R662" s="18"/>
      <c r="S662" s="18"/>
      <c r="AH662" s="28"/>
      <c r="AL662" s="28"/>
    </row>
    <row r="663" x14ac:dyDescent="0.25">
      <c r="H663" s="18"/>
      <c r="I663" s="18"/>
      <c r="J663" s="18"/>
      <c r="R663" s="18"/>
      <c r="S663" s="18"/>
      <c r="AH663" s="28"/>
      <c r="AL663" s="28"/>
    </row>
    <row r="664" x14ac:dyDescent="0.25">
      <c r="H664" s="18"/>
      <c r="I664" s="18"/>
      <c r="J664" s="18"/>
      <c r="R664" s="18"/>
      <c r="S664" s="18"/>
      <c r="AH664" s="28"/>
      <c r="AL664" s="28"/>
    </row>
    <row r="665" x14ac:dyDescent="0.25">
      <c r="H665" s="18"/>
      <c r="I665" s="18"/>
      <c r="J665" s="18"/>
      <c r="R665" s="18"/>
      <c r="S665" s="18"/>
      <c r="AH665" s="28"/>
      <c r="AL665" s="28"/>
    </row>
    <row r="666" x14ac:dyDescent="0.25">
      <c r="H666" s="18"/>
      <c r="I666" s="18"/>
      <c r="J666" s="18"/>
      <c r="R666" s="18"/>
      <c r="S666" s="18"/>
      <c r="AH666" s="28"/>
      <c r="AL666" s="28"/>
    </row>
    <row r="667" x14ac:dyDescent="0.25">
      <c r="H667" s="18"/>
      <c r="I667" s="18"/>
      <c r="J667" s="18"/>
      <c r="R667" s="18"/>
      <c r="S667" s="18"/>
      <c r="AH667" s="28"/>
      <c r="AL667" s="28"/>
    </row>
    <row r="668" x14ac:dyDescent="0.25">
      <c r="H668" s="18"/>
      <c r="I668" s="18"/>
      <c r="J668" s="18"/>
      <c r="R668" s="18"/>
      <c r="S668" s="18"/>
      <c r="AH668" s="28"/>
      <c r="AL668" s="28"/>
    </row>
    <row r="669" x14ac:dyDescent="0.25">
      <c r="H669" s="18"/>
      <c r="I669" s="18"/>
      <c r="J669" s="18"/>
      <c r="R669" s="18"/>
      <c r="S669" s="18"/>
      <c r="AH669" s="28"/>
      <c r="AL669" s="28"/>
    </row>
    <row r="670" x14ac:dyDescent="0.25">
      <c r="H670" s="18"/>
      <c r="I670" s="18"/>
      <c r="J670" s="18"/>
      <c r="R670" s="18"/>
      <c r="S670" s="18"/>
      <c r="AH670" s="28"/>
      <c r="AL670" s="28"/>
    </row>
    <row r="671" x14ac:dyDescent="0.25">
      <c r="H671" s="18"/>
      <c r="I671" s="18"/>
      <c r="J671" s="18"/>
      <c r="R671" s="18"/>
      <c r="S671" s="18"/>
      <c r="AH671" s="28"/>
      <c r="AL671" s="28"/>
    </row>
    <row r="672" x14ac:dyDescent="0.25">
      <c r="H672" s="18"/>
      <c r="I672" s="18"/>
      <c r="J672" s="18"/>
      <c r="R672" s="18"/>
      <c r="S672" s="18"/>
      <c r="AH672" s="28"/>
      <c r="AL672" s="28"/>
    </row>
    <row r="673" x14ac:dyDescent="0.25">
      <c r="H673" s="18"/>
      <c r="I673" s="18"/>
      <c r="J673" s="18"/>
      <c r="R673" s="18"/>
      <c r="S673" s="18"/>
      <c r="AH673" s="28"/>
      <c r="AL673" s="28"/>
    </row>
    <row r="674" x14ac:dyDescent="0.25">
      <c r="H674" s="18"/>
      <c r="I674" s="18"/>
      <c r="J674" s="18"/>
      <c r="R674" s="18"/>
      <c r="S674" s="18"/>
      <c r="AH674" s="28"/>
      <c r="AL674" s="28"/>
    </row>
    <row r="675" x14ac:dyDescent="0.25">
      <c r="H675" s="18"/>
      <c r="I675" s="18"/>
      <c r="J675" s="18"/>
      <c r="R675" s="18"/>
      <c r="S675" s="18"/>
      <c r="AH675" s="28"/>
      <c r="AL675" s="28"/>
    </row>
    <row r="676" x14ac:dyDescent="0.25">
      <c r="H676" s="18"/>
      <c r="I676" s="18"/>
      <c r="J676" s="18"/>
      <c r="R676" s="18"/>
      <c r="S676" s="18"/>
      <c r="AH676" s="28"/>
      <c r="AL676" s="28"/>
    </row>
    <row r="677" x14ac:dyDescent="0.25">
      <c r="H677" s="18"/>
      <c r="I677" s="18"/>
      <c r="J677" s="18"/>
      <c r="R677" s="18"/>
      <c r="S677" s="18"/>
      <c r="AH677" s="28"/>
      <c r="AL677" s="28"/>
    </row>
    <row r="678" x14ac:dyDescent="0.25">
      <c r="H678" s="18"/>
      <c r="I678" s="18"/>
      <c r="J678" s="18"/>
      <c r="R678" s="18"/>
      <c r="S678" s="18"/>
      <c r="AH678" s="28"/>
      <c r="AL678" s="28"/>
    </row>
    <row r="679" x14ac:dyDescent="0.25">
      <c r="H679" s="18"/>
      <c r="I679" s="18"/>
      <c r="J679" s="18"/>
      <c r="R679" s="18"/>
      <c r="S679" s="18"/>
      <c r="AH679" s="28"/>
      <c r="AL679" s="28"/>
    </row>
    <row r="680" x14ac:dyDescent="0.25">
      <c r="H680" s="18"/>
      <c r="I680" s="18"/>
      <c r="J680" s="18"/>
      <c r="R680" s="18"/>
      <c r="S680" s="18"/>
      <c r="AH680" s="28"/>
      <c r="AL680" s="28"/>
    </row>
    <row r="681" x14ac:dyDescent="0.25">
      <c r="H681" s="18"/>
      <c r="I681" s="18"/>
      <c r="J681" s="18"/>
      <c r="R681" s="18"/>
      <c r="S681" s="18"/>
      <c r="AH681" s="28"/>
      <c r="AL681" s="28"/>
    </row>
    <row r="682" x14ac:dyDescent="0.25">
      <c r="H682" s="18"/>
      <c r="I682" s="18"/>
      <c r="J682" s="18"/>
      <c r="R682" s="18"/>
      <c r="S682" s="18"/>
      <c r="AH682" s="28"/>
      <c r="AL682" s="28"/>
    </row>
    <row r="683" x14ac:dyDescent="0.25">
      <c r="H683" s="18"/>
      <c r="I683" s="18"/>
      <c r="J683" s="18"/>
      <c r="R683" s="18"/>
      <c r="S683" s="18"/>
      <c r="AH683" s="28"/>
      <c r="AL683" s="28"/>
    </row>
    <row r="684" x14ac:dyDescent="0.25">
      <c r="H684" s="18"/>
      <c r="I684" s="18"/>
      <c r="J684" s="18"/>
      <c r="R684" s="18"/>
      <c r="S684" s="18"/>
      <c r="AH684" s="28"/>
      <c r="AL684" s="28"/>
    </row>
    <row r="685" x14ac:dyDescent="0.25">
      <c r="H685" s="18"/>
      <c r="I685" s="18"/>
      <c r="J685" s="18"/>
      <c r="R685" s="18"/>
      <c r="S685" s="18"/>
      <c r="AH685" s="28"/>
      <c r="AL685" s="28"/>
    </row>
    <row r="686" x14ac:dyDescent="0.25">
      <c r="H686" s="18"/>
      <c r="I686" s="18"/>
      <c r="J686" s="18"/>
      <c r="R686" s="18"/>
      <c r="S686" s="18"/>
      <c r="AH686" s="28"/>
      <c r="AL686" s="28"/>
    </row>
    <row r="687" x14ac:dyDescent="0.25">
      <c r="H687" s="18"/>
      <c r="I687" s="18"/>
      <c r="J687" s="18"/>
      <c r="R687" s="18"/>
      <c r="S687" s="18"/>
      <c r="AH687" s="28"/>
      <c r="AL687" s="28"/>
    </row>
    <row r="688" x14ac:dyDescent="0.25">
      <c r="H688" s="18"/>
      <c r="I688" s="18"/>
      <c r="J688" s="18"/>
      <c r="R688" s="18"/>
      <c r="S688" s="18"/>
      <c r="AH688" s="28"/>
      <c r="AL688" s="28"/>
    </row>
    <row r="689" x14ac:dyDescent="0.25">
      <c r="H689" s="18"/>
      <c r="I689" s="18"/>
      <c r="J689" s="18"/>
      <c r="R689" s="18"/>
      <c r="S689" s="18"/>
      <c r="AH689" s="28"/>
      <c r="AL689" s="28"/>
    </row>
    <row r="690" x14ac:dyDescent="0.25">
      <c r="H690" s="18"/>
      <c r="I690" s="18"/>
      <c r="J690" s="18"/>
      <c r="R690" s="18"/>
      <c r="S690" s="18"/>
      <c r="AH690" s="28"/>
      <c r="AL690" s="28"/>
    </row>
    <row r="691" x14ac:dyDescent="0.25">
      <c r="H691" s="18"/>
      <c r="I691" s="18"/>
      <c r="J691" s="18"/>
      <c r="R691" s="18"/>
      <c r="S691" s="18"/>
      <c r="AH691" s="28"/>
      <c r="AL691" s="28"/>
    </row>
    <row r="692" x14ac:dyDescent="0.25">
      <c r="H692" s="18"/>
      <c r="I692" s="18"/>
      <c r="J692" s="18"/>
      <c r="R692" s="18"/>
      <c r="S692" s="18"/>
      <c r="AH692" s="28"/>
      <c r="AL692" s="28"/>
    </row>
    <row r="693" x14ac:dyDescent="0.25">
      <c r="H693" s="18"/>
      <c r="I693" s="18"/>
      <c r="J693" s="18"/>
      <c r="R693" s="18"/>
      <c r="S693" s="18"/>
      <c r="AH693" s="28"/>
      <c r="AL693" s="28"/>
    </row>
    <row r="694" x14ac:dyDescent="0.25">
      <c r="H694" s="18"/>
      <c r="I694" s="18"/>
      <c r="J694" s="18"/>
      <c r="R694" s="18"/>
      <c r="S694" s="18"/>
      <c r="AH694" s="28"/>
      <c r="AL694" s="28"/>
    </row>
    <row r="695" x14ac:dyDescent="0.25">
      <c r="H695" s="18"/>
      <c r="I695" s="18"/>
      <c r="J695" s="18"/>
      <c r="R695" s="18"/>
      <c r="S695" s="18"/>
      <c r="AH695" s="28"/>
      <c r="AL695" s="28"/>
    </row>
    <row r="696" x14ac:dyDescent="0.25">
      <c r="H696" s="18"/>
      <c r="I696" s="18"/>
      <c r="J696" s="18"/>
      <c r="R696" s="18"/>
      <c r="S696" s="18"/>
      <c r="AH696" s="28"/>
      <c r="AL696" s="28"/>
    </row>
    <row r="697" x14ac:dyDescent="0.25">
      <c r="H697" s="18"/>
      <c r="I697" s="18"/>
      <c r="J697" s="18"/>
      <c r="R697" s="18"/>
      <c r="S697" s="18"/>
      <c r="AH697" s="28"/>
      <c r="AL697" s="28"/>
    </row>
    <row r="698" x14ac:dyDescent="0.25">
      <c r="H698" s="18"/>
      <c r="I698" s="18"/>
      <c r="J698" s="18"/>
      <c r="R698" s="18"/>
      <c r="S698" s="18"/>
      <c r="AH698" s="28"/>
      <c r="AL698" s="28"/>
    </row>
    <row r="699" x14ac:dyDescent="0.25">
      <c r="H699" s="18"/>
      <c r="I699" s="18"/>
      <c r="J699" s="18"/>
      <c r="R699" s="18"/>
      <c r="S699" s="18"/>
      <c r="AH699" s="28"/>
      <c r="AL699" s="28"/>
    </row>
    <row r="700" x14ac:dyDescent="0.25">
      <c r="H700" s="18"/>
      <c r="I700" s="18"/>
      <c r="J700" s="18"/>
      <c r="R700" s="18"/>
      <c r="S700" s="18"/>
      <c r="AH700" s="28"/>
      <c r="AL700" s="28"/>
    </row>
    <row r="701" x14ac:dyDescent="0.25">
      <c r="H701" s="18"/>
      <c r="I701" s="18"/>
      <c r="J701" s="18"/>
      <c r="R701" s="18"/>
      <c r="S701" s="18"/>
      <c r="AH701" s="28"/>
      <c r="AL701" s="28"/>
    </row>
    <row r="702" x14ac:dyDescent="0.25">
      <c r="H702" s="18"/>
      <c r="I702" s="18"/>
      <c r="J702" s="18"/>
      <c r="R702" s="18"/>
      <c r="S702" s="18"/>
      <c r="AH702" s="28"/>
      <c r="AL702" s="28"/>
    </row>
    <row r="703" x14ac:dyDescent="0.25">
      <c r="H703" s="18"/>
      <c r="I703" s="18"/>
      <c r="J703" s="18"/>
      <c r="R703" s="18"/>
      <c r="S703" s="18"/>
      <c r="AH703" s="28"/>
      <c r="AL703" s="28"/>
    </row>
    <row r="704" x14ac:dyDescent="0.25">
      <c r="H704" s="18"/>
      <c r="I704" s="18"/>
      <c r="J704" s="18"/>
      <c r="R704" s="18"/>
      <c r="S704" s="18"/>
      <c r="AH704" s="28"/>
      <c r="AL704" s="28"/>
    </row>
    <row r="705" x14ac:dyDescent="0.25">
      <c r="H705" s="18"/>
      <c r="I705" s="18"/>
      <c r="J705" s="18"/>
      <c r="R705" s="18"/>
      <c r="S705" s="18"/>
      <c r="AH705" s="28"/>
      <c r="AL705" s="28"/>
    </row>
    <row r="706" x14ac:dyDescent="0.25">
      <c r="H706" s="18"/>
      <c r="I706" s="18"/>
      <c r="J706" s="18"/>
      <c r="R706" s="18"/>
      <c r="S706" s="18"/>
      <c r="AH706" s="28"/>
      <c r="AL706" s="28"/>
    </row>
    <row r="707" x14ac:dyDescent="0.25">
      <c r="H707" s="18"/>
      <c r="I707" s="18"/>
      <c r="J707" s="18"/>
      <c r="R707" s="18"/>
      <c r="S707" s="18"/>
      <c r="AH707" s="28"/>
      <c r="AL707" s="28"/>
    </row>
    <row r="708" x14ac:dyDescent="0.25">
      <c r="H708" s="18"/>
      <c r="I708" s="18"/>
      <c r="J708" s="18"/>
      <c r="R708" s="18"/>
      <c r="S708" s="18"/>
      <c r="AH708" s="28"/>
      <c r="AL708" s="28"/>
    </row>
    <row r="709" x14ac:dyDescent="0.25">
      <c r="H709" s="18"/>
      <c r="I709" s="18"/>
      <c r="J709" s="18"/>
      <c r="R709" s="18"/>
      <c r="S709" s="18"/>
      <c r="AH709" s="28"/>
      <c r="AL709" s="28"/>
    </row>
    <row r="710" x14ac:dyDescent="0.25">
      <c r="H710" s="18"/>
      <c r="I710" s="18"/>
      <c r="J710" s="18"/>
      <c r="R710" s="18"/>
      <c r="S710" s="18"/>
      <c r="AH710" s="28"/>
      <c r="AL710" s="28"/>
    </row>
    <row r="711" x14ac:dyDescent="0.25">
      <c r="H711" s="18"/>
      <c r="I711" s="18"/>
      <c r="J711" s="18"/>
      <c r="R711" s="18"/>
      <c r="S711" s="18"/>
      <c r="AH711" s="28"/>
      <c r="AL711" s="28"/>
    </row>
    <row r="712" x14ac:dyDescent="0.25">
      <c r="H712" s="18"/>
      <c r="I712" s="18"/>
      <c r="J712" s="18"/>
      <c r="R712" s="18"/>
      <c r="S712" s="18"/>
      <c r="AH712" s="28"/>
      <c r="AL712" s="28"/>
    </row>
    <row r="713" x14ac:dyDescent="0.25">
      <c r="H713" s="18"/>
      <c r="I713" s="18"/>
      <c r="J713" s="18"/>
      <c r="R713" s="18"/>
      <c r="S713" s="18"/>
      <c r="AH713" s="28"/>
      <c r="AL713" s="28"/>
    </row>
    <row r="714" x14ac:dyDescent="0.25">
      <c r="H714" s="18"/>
      <c r="I714" s="18"/>
      <c r="J714" s="18"/>
      <c r="R714" s="18"/>
      <c r="S714" s="18"/>
      <c r="AH714" s="28"/>
      <c r="AL714" s="28"/>
    </row>
    <row r="715" x14ac:dyDescent="0.25">
      <c r="H715" s="18"/>
      <c r="I715" s="18"/>
      <c r="J715" s="18"/>
      <c r="R715" s="18"/>
      <c r="S715" s="18"/>
      <c r="AH715" s="28"/>
      <c r="AL715" s="28"/>
    </row>
    <row r="716" x14ac:dyDescent="0.25">
      <c r="H716" s="18"/>
      <c r="I716" s="18"/>
      <c r="J716" s="18"/>
      <c r="R716" s="18"/>
      <c r="S716" s="18"/>
      <c r="AH716" s="28"/>
      <c r="AL716" s="28"/>
    </row>
    <row r="717" x14ac:dyDescent="0.25">
      <c r="H717" s="18"/>
      <c r="I717" s="18"/>
      <c r="J717" s="18"/>
      <c r="R717" s="18"/>
      <c r="S717" s="18"/>
      <c r="AH717" s="28"/>
      <c r="AL717" s="28"/>
    </row>
    <row r="718" x14ac:dyDescent="0.25">
      <c r="H718" s="18"/>
      <c r="I718" s="18"/>
      <c r="J718" s="18"/>
      <c r="R718" s="18"/>
      <c r="S718" s="18"/>
      <c r="AH718" s="28"/>
      <c r="AL718" s="28"/>
    </row>
    <row r="719" x14ac:dyDescent="0.25">
      <c r="H719" s="18"/>
      <c r="I719" s="18"/>
      <c r="J719" s="18"/>
      <c r="R719" s="18"/>
      <c r="S719" s="18"/>
      <c r="AH719" s="28"/>
      <c r="AL719" s="28"/>
    </row>
    <row r="720" x14ac:dyDescent="0.25">
      <c r="H720" s="18"/>
      <c r="I720" s="18"/>
      <c r="J720" s="18"/>
      <c r="R720" s="18"/>
      <c r="S720" s="18"/>
      <c r="AH720" s="28"/>
      <c r="AL720" s="28"/>
    </row>
    <row r="721" x14ac:dyDescent="0.25">
      <c r="H721" s="18"/>
      <c r="I721" s="18"/>
      <c r="J721" s="18"/>
      <c r="R721" s="18"/>
      <c r="S721" s="18"/>
      <c r="AH721" s="28"/>
      <c r="AL721" s="28"/>
    </row>
    <row r="722" x14ac:dyDescent="0.25">
      <c r="H722" s="18"/>
      <c r="I722" s="18"/>
      <c r="J722" s="18"/>
      <c r="R722" s="18"/>
      <c r="S722" s="18"/>
      <c r="AH722" s="28"/>
      <c r="AL722" s="28"/>
    </row>
    <row r="723" x14ac:dyDescent="0.25">
      <c r="H723" s="18"/>
      <c r="I723" s="18"/>
      <c r="J723" s="18"/>
      <c r="R723" s="18"/>
      <c r="S723" s="18"/>
      <c r="AH723" s="28"/>
      <c r="AL723" s="28"/>
    </row>
    <row r="724" x14ac:dyDescent="0.25">
      <c r="H724" s="18"/>
      <c r="I724" s="18"/>
      <c r="J724" s="18"/>
      <c r="R724" s="18"/>
      <c r="S724" s="18"/>
      <c r="AH724" s="28"/>
      <c r="AL724" s="28"/>
    </row>
    <row r="725" x14ac:dyDescent="0.25">
      <c r="H725" s="18"/>
      <c r="I725" s="18"/>
      <c r="J725" s="18"/>
      <c r="R725" s="18"/>
      <c r="S725" s="18"/>
      <c r="AH725" s="28"/>
      <c r="AL725" s="28"/>
    </row>
    <row r="726" x14ac:dyDescent="0.25">
      <c r="H726" s="18"/>
      <c r="I726" s="18"/>
      <c r="J726" s="18"/>
      <c r="R726" s="18"/>
      <c r="S726" s="18"/>
      <c r="AH726" s="28"/>
      <c r="AL726" s="28"/>
    </row>
    <row r="727" x14ac:dyDescent="0.25">
      <c r="H727" s="18"/>
      <c r="I727" s="18"/>
      <c r="J727" s="18"/>
      <c r="R727" s="18"/>
      <c r="S727" s="18"/>
      <c r="AH727" s="28"/>
      <c r="AL727" s="28"/>
    </row>
    <row r="728" x14ac:dyDescent="0.25">
      <c r="H728" s="18"/>
      <c r="I728" s="18"/>
      <c r="J728" s="18"/>
      <c r="R728" s="18"/>
      <c r="S728" s="18"/>
      <c r="AH728" s="28"/>
      <c r="AL728" s="28"/>
    </row>
    <row r="729" x14ac:dyDescent="0.25">
      <c r="H729" s="18"/>
      <c r="I729" s="18"/>
      <c r="J729" s="18"/>
      <c r="R729" s="18"/>
      <c r="S729" s="18"/>
      <c r="AH729" s="28"/>
      <c r="AL729" s="28"/>
    </row>
    <row r="730" x14ac:dyDescent="0.25">
      <c r="H730" s="18"/>
      <c r="I730" s="18"/>
      <c r="J730" s="18"/>
      <c r="R730" s="18"/>
      <c r="S730" s="18"/>
      <c r="AH730" s="28"/>
      <c r="AL730" s="28"/>
    </row>
    <row r="731" x14ac:dyDescent="0.25">
      <c r="H731" s="18"/>
      <c r="I731" s="18"/>
      <c r="J731" s="18"/>
      <c r="R731" s="18"/>
      <c r="S731" s="18"/>
      <c r="AH731" s="28"/>
      <c r="AL731" s="28"/>
    </row>
    <row r="732" x14ac:dyDescent="0.25">
      <c r="H732" s="18"/>
      <c r="I732" s="18"/>
      <c r="J732" s="18"/>
      <c r="R732" s="18"/>
      <c r="S732" s="18"/>
      <c r="AH732" s="28"/>
      <c r="AL732" s="28"/>
    </row>
    <row r="733" x14ac:dyDescent="0.25">
      <c r="H733" s="18"/>
      <c r="I733" s="18"/>
      <c r="J733" s="18"/>
      <c r="R733" s="18"/>
      <c r="S733" s="18"/>
      <c r="AH733" s="28"/>
      <c r="AL733" s="28"/>
    </row>
    <row r="734" x14ac:dyDescent="0.25">
      <c r="H734" s="18"/>
      <c r="I734" s="18"/>
      <c r="J734" s="18"/>
      <c r="R734" s="18"/>
      <c r="S734" s="18"/>
      <c r="AH734" s="28"/>
      <c r="AL734" s="28"/>
    </row>
    <row r="735" x14ac:dyDescent="0.25">
      <c r="H735" s="18"/>
      <c r="I735" s="18"/>
      <c r="J735" s="18"/>
      <c r="R735" s="18"/>
      <c r="S735" s="18"/>
      <c r="AH735" s="28"/>
      <c r="AL735" s="28"/>
    </row>
    <row r="736" x14ac:dyDescent="0.25">
      <c r="H736" s="18"/>
      <c r="I736" s="18"/>
      <c r="J736" s="18"/>
      <c r="R736" s="18"/>
      <c r="S736" s="18"/>
      <c r="AH736" s="28"/>
      <c r="AL736" s="28"/>
    </row>
    <row r="737" x14ac:dyDescent="0.25">
      <c r="H737" s="18"/>
      <c r="I737" s="18"/>
      <c r="J737" s="18"/>
      <c r="R737" s="18"/>
      <c r="S737" s="18"/>
      <c r="AH737" s="28"/>
      <c r="AL737" s="28"/>
    </row>
    <row r="738" x14ac:dyDescent="0.25">
      <c r="H738" s="18"/>
      <c r="I738" s="18"/>
      <c r="J738" s="18"/>
      <c r="R738" s="18"/>
      <c r="S738" s="18"/>
      <c r="AH738" s="28"/>
      <c r="AL738" s="28"/>
    </row>
    <row r="739" x14ac:dyDescent="0.25">
      <c r="H739" s="18"/>
      <c r="I739" s="18"/>
      <c r="J739" s="18"/>
      <c r="R739" s="18"/>
      <c r="S739" s="18"/>
      <c r="AH739" s="28"/>
      <c r="AL739" s="28"/>
    </row>
    <row r="740" x14ac:dyDescent="0.25">
      <c r="H740" s="18"/>
      <c r="I740" s="18"/>
      <c r="J740" s="18"/>
      <c r="R740" s="18"/>
      <c r="S740" s="18"/>
      <c r="AH740" s="28"/>
      <c r="AL740" s="28"/>
    </row>
    <row r="741" x14ac:dyDescent="0.25">
      <c r="H741" s="18"/>
      <c r="I741" s="18"/>
      <c r="J741" s="18"/>
      <c r="R741" s="18"/>
      <c r="S741" s="18"/>
      <c r="AH741" s="28"/>
      <c r="AL741" s="28"/>
    </row>
    <row r="742" x14ac:dyDescent="0.25">
      <c r="H742" s="18"/>
      <c r="I742" s="18"/>
      <c r="J742" s="18"/>
      <c r="R742" s="18"/>
      <c r="S742" s="18"/>
      <c r="AH742" s="28"/>
      <c r="AL742" s="28"/>
    </row>
    <row r="743" x14ac:dyDescent="0.25">
      <c r="H743" s="18"/>
      <c r="I743" s="18"/>
      <c r="J743" s="18"/>
      <c r="R743" s="18"/>
      <c r="S743" s="18"/>
      <c r="AH743" s="28"/>
      <c r="AL743" s="28"/>
    </row>
    <row r="744" x14ac:dyDescent="0.25">
      <c r="H744" s="18"/>
      <c r="I744" s="18"/>
      <c r="J744" s="18"/>
      <c r="R744" s="18"/>
      <c r="S744" s="18"/>
      <c r="AH744" s="28"/>
      <c r="AL744" s="28"/>
    </row>
    <row r="745" x14ac:dyDescent="0.25">
      <c r="H745" s="18"/>
      <c r="I745" s="18"/>
      <c r="J745" s="18"/>
      <c r="R745" s="18"/>
      <c r="S745" s="18"/>
      <c r="AH745" s="28"/>
      <c r="AL745" s="28"/>
    </row>
    <row r="746" x14ac:dyDescent="0.25">
      <c r="H746" s="18"/>
      <c r="I746" s="18"/>
      <c r="J746" s="18"/>
      <c r="R746" s="18"/>
      <c r="S746" s="18"/>
      <c r="AH746" s="28"/>
      <c r="AL746" s="28"/>
    </row>
    <row r="747" x14ac:dyDescent="0.25">
      <c r="H747" s="18"/>
      <c r="I747" s="18"/>
      <c r="J747" s="18"/>
      <c r="R747" s="18"/>
      <c r="S747" s="18"/>
      <c r="AH747" s="28"/>
      <c r="AL747" s="28"/>
    </row>
    <row r="748" x14ac:dyDescent="0.25">
      <c r="H748" s="18"/>
      <c r="I748" s="18"/>
      <c r="J748" s="18"/>
      <c r="R748" s="18"/>
      <c r="S748" s="18"/>
      <c r="AH748" s="28"/>
      <c r="AL748" s="28"/>
    </row>
    <row r="749" x14ac:dyDescent="0.25">
      <c r="H749" s="18"/>
      <c r="I749" s="18"/>
      <c r="J749" s="18"/>
      <c r="R749" s="18"/>
      <c r="S749" s="18"/>
      <c r="AH749" s="28"/>
      <c r="AL749" s="28"/>
    </row>
    <row r="750" x14ac:dyDescent="0.25">
      <c r="H750" s="18"/>
      <c r="I750" s="18"/>
      <c r="J750" s="18"/>
      <c r="R750" s="18"/>
      <c r="S750" s="18"/>
      <c r="AH750" s="28"/>
      <c r="AL750" s="28"/>
    </row>
    <row r="751" x14ac:dyDescent="0.25">
      <c r="H751" s="18"/>
      <c r="I751" s="18"/>
      <c r="J751" s="18"/>
      <c r="R751" s="18"/>
      <c r="S751" s="18"/>
      <c r="AH751" s="28"/>
      <c r="AL751" s="28"/>
    </row>
    <row r="752" x14ac:dyDescent="0.25">
      <c r="H752" s="18"/>
      <c r="I752" s="18"/>
      <c r="J752" s="18"/>
      <c r="R752" s="18"/>
      <c r="S752" s="18"/>
      <c r="AH752" s="28"/>
      <c r="AL752" s="28"/>
    </row>
    <row r="753" x14ac:dyDescent="0.25">
      <c r="H753" s="18"/>
      <c r="I753" s="18"/>
      <c r="J753" s="18"/>
      <c r="R753" s="18"/>
      <c r="S753" s="18"/>
      <c r="AH753" s="28"/>
      <c r="AL753" s="28"/>
    </row>
    <row r="754" x14ac:dyDescent="0.25">
      <c r="H754" s="18"/>
      <c r="I754" s="18"/>
      <c r="J754" s="18"/>
      <c r="R754" s="18"/>
      <c r="S754" s="18"/>
      <c r="AH754" s="28"/>
      <c r="AL754" s="28"/>
    </row>
    <row r="755" x14ac:dyDescent="0.25">
      <c r="H755" s="18"/>
      <c r="I755" s="18"/>
      <c r="J755" s="18"/>
      <c r="R755" s="18"/>
      <c r="S755" s="18"/>
      <c r="AH755" s="28"/>
      <c r="AL755" s="28"/>
    </row>
    <row r="756" x14ac:dyDescent="0.25">
      <c r="H756" s="18"/>
      <c r="I756" s="18"/>
      <c r="J756" s="18"/>
      <c r="R756" s="18"/>
      <c r="S756" s="18"/>
      <c r="AH756" s="28"/>
      <c r="AL756" s="28"/>
    </row>
    <row r="757" x14ac:dyDescent="0.25">
      <c r="H757" s="18"/>
      <c r="I757" s="18"/>
      <c r="J757" s="18"/>
      <c r="R757" s="18"/>
      <c r="S757" s="18"/>
      <c r="AH757" s="28"/>
      <c r="AL757" s="28"/>
    </row>
    <row r="758" x14ac:dyDescent="0.25">
      <c r="H758" s="18"/>
      <c r="I758" s="18"/>
      <c r="J758" s="18"/>
      <c r="R758" s="18"/>
      <c r="S758" s="18"/>
      <c r="AH758" s="28"/>
      <c r="AL758" s="28"/>
    </row>
    <row r="759" x14ac:dyDescent="0.25">
      <c r="H759" s="18"/>
      <c r="I759" s="18"/>
      <c r="J759" s="18"/>
      <c r="R759" s="18"/>
      <c r="S759" s="18"/>
      <c r="AH759" s="28"/>
      <c r="AL759" s="28"/>
    </row>
    <row r="760" x14ac:dyDescent="0.25">
      <c r="H760" s="18"/>
      <c r="I760" s="18"/>
      <c r="J760" s="18"/>
      <c r="R760" s="18"/>
      <c r="S760" s="18"/>
      <c r="AH760" s="28"/>
      <c r="AL760" s="28"/>
    </row>
    <row r="761" x14ac:dyDescent="0.25">
      <c r="H761" s="18"/>
      <c r="I761" s="18"/>
      <c r="J761" s="18"/>
      <c r="R761" s="18"/>
      <c r="S761" s="18"/>
      <c r="AH761" s="28"/>
      <c r="AL761" s="28"/>
    </row>
    <row r="762" x14ac:dyDescent="0.25">
      <c r="H762" s="18"/>
      <c r="I762" s="18"/>
      <c r="J762" s="18"/>
      <c r="R762" s="18"/>
      <c r="S762" s="18"/>
      <c r="AH762" s="28"/>
      <c r="AL762" s="28"/>
    </row>
    <row r="763" x14ac:dyDescent="0.25">
      <c r="H763" s="18"/>
      <c r="I763" s="18"/>
      <c r="J763" s="18"/>
      <c r="R763" s="18"/>
      <c r="S763" s="18"/>
      <c r="AH763" s="28"/>
      <c r="AL763" s="28"/>
    </row>
    <row r="764" x14ac:dyDescent="0.25">
      <c r="H764" s="18"/>
      <c r="I764" s="18"/>
      <c r="J764" s="18"/>
      <c r="R764" s="18"/>
      <c r="S764" s="18"/>
      <c r="AH764" s="28"/>
      <c r="AL764" s="28"/>
    </row>
    <row r="765" x14ac:dyDescent="0.25">
      <c r="H765" s="18"/>
      <c r="I765" s="18"/>
      <c r="J765" s="18"/>
      <c r="R765" s="18"/>
      <c r="S765" s="18"/>
      <c r="AH765" s="28"/>
      <c r="AL765" s="28"/>
    </row>
    <row r="766" x14ac:dyDescent="0.25">
      <c r="H766" s="18"/>
      <c r="I766" s="18"/>
      <c r="J766" s="18"/>
      <c r="R766" s="18"/>
      <c r="S766" s="18"/>
      <c r="AH766" s="28"/>
      <c r="AL766" s="28"/>
    </row>
    <row r="767" x14ac:dyDescent="0.25">
      <c r="H767" s="18"/>
      <c r="I767" s="18"/>
      <c r="J767" s="18"/>
      <c r="R767" s="18"/>
      <c r="S767" s="18"/>
      <c r="AH767" s="28"/>
      <c r="AL767" s="28"/>
    </row>
    <row r="768" x14ac:dyDescent="0.25">
      <c r="H768" s="18"/>
      <c r="I768" s="18"/>
      <c r="J768" s="18"/>
      <c r="R768" s="18"/>
      <c r="S768" s="18"/>
      <c r="AH768" s="28"/>
      <c r="AL768" s="28"/>
    </row>
    <row r="769" x14ac:dyDescent="0.25">
      <c r="H769" s="18"/>
      <c r="I769" s="18"/>
      <c r="J769" s="18"/>
      <c r="R769" s="18"/>
      <c r="S769" s="18"/>
      <c r="AH769" s="28"/>
      <c r="AL769" s="28"/>
    </row>
    <row r="770" x14ac:dyDescent="0.25">
      <c r="H770" s="18"/>
      <c r="I770" s="18"/>
      <c r="J770" s="18"/>
      <c r="R770" s="18"/>
      <c r="S770" s="18"/>
      <c r="AH770" s="28"/>
      <c r="AL770" s="28"/>
    </row>
    <row r="771" x14ac:dyDescent="0.25">
      <c r="H771" s="18"/>
      <c r="I771" s="18"/>
      <c r="J771" s="18"/>
      <c r="R771" s="18"/>
      <c r="S771" s="18"/>
      <c r="AH771" s="28"/>
      <c r="AL771" s="28"/>
    </row>
    <row r="772" x14ac:dyDescent="0.25">
      <c r="H772" s="18"/>
      <c r="I772" s="18"/>
      <c r="J772" s="18"/>
      <c r="R772" s="18"/>
      <c r="S772" s="18"/>
      <c r="AH772" s="28"/>
      <c r="AL772" s="28"/>
    </row>
    <row r="773" x14ac:dyDescent="0.25">
      <c r="H773" s="18"/>
      <c r="I773" s="18"/>
      <c r="J773" s="18"/>
      <c r="R773" s="18"/>
      <c r="S773" s="18"/>
      <c r="AH773" s="28"/>
      <c r="AL773" s="28"/>
    </row>
    <row r="774" x14ac:dyDescent="0.25">
      <c r="H774" s="18"/>
      <c r="I774" s="18"/>
      <c r="J774" s="18"/>
      <c r="R774" s="18"/>
      <c r="S774" s="18"/>
      <c r="AH774" s="28"/>
      <c r="AL774" s="28"/>
    </row>
    <row r="775" x14ac:dyDescent="0.25">
      <c r="H775" s="18"/>
      <c r="I775" s="18"/>
      <c r="J775" s="18"/>
      <c r="R775" s="18"/>
      <c r="S775" s="18"/>
      <c r="AH775" s="28"/>
      <c r="AL775" s="28"/>
    </row>
    <row r="776" x14ac:dyDescent="0.25">
      <c r="H776" s="18"/>
      <c r="I776" s="18"/>
      <c r="J776" s="18"/>
      <c r="R776" s="18"/>
      <c r="S776" s="18"/>
      <c r="AH776" s="28"/>
      <c r="AL776" s="28"/>
    </row>
    <row r="777" x14ac:dyDescent="0.25">
      <c r="H777" s="18"/>
      <c r="I777" s="18"/>
      <c r="J777" s="18"/>
      <c r="R777" s="18"/>
      <c r="S777" s="18"/>
      <c r="AH777" s="28"/>
      <c r="AL777" s="28"/>
    </row>
    <row r="778" x14ac:dyDescent="0.25">
      <c r="H778" s="18"/>
      <c r="I778" s="18"/>
      <c r="J778" s="18"/>
      <c r="R778" s="18"/>
      <c r="S778" s="18"/>
      <c r="AH778" s="28"/>
      <c r="AL778" s="28"/>
    </row>
    <row r="779" x14ac:dyDescent="0.25">
      <c r="H779" s="18"/>
      <c r="I779" s="18"/>
      <c r="J779" s="18"/>
      <c r="R779" s="18"/>
      <c r="S779" s="18"/>
      <c r="AH779" s="28"/>
      <c r="AL779" s="28"/>
    </row>
    <row r="780" x14ac:dyDescent="0.25">
      <c r="H780" s="18"/>
      <c r="I780" s="18"/>
      <c r="J780" s="18"/>
      <c r="R780" s="18"/>
      <c r="S780" s="18"/>
      <c r="AH780" s="28"/>
      <c r="AL780" s="28"/>
    </row>
    <row r="781" x14ac:dyDescent="0.25">
      <c r="H781" s="18"/>
      <c r="I781" s="18"/>
      <c r="J781" s="18"/>
      <c r="R781" s="18"/>
      <c r="S781" s="18"/>
      <c r="AH781" s="28"/>
      <c r="AL781" s="28"/>
    </row>
    <row r="782" x14ac:dyDescent="0.25">
      <c r="H782" s="18"/>
      <c r="I782" s="18"/>
      <c r="J782" s="18"/>
      <c r="R782" s="18"/>
      <c r="S782" s="18"/>
      <c r="AH782" s="28"/>
      <c r="AL782" s="28"/>
    </row>
    <row r="783" x14ac:dyDescent="0.25">
      <c r="H783" s="18"/>
      <c r="I783" s="18"/>
      <c r="J783" s="18"/>
      <c r="R783" s="18"/>
      <c r="S783" s="18"/>
      <c r="AH783" s="28"/>
      <c r="AL783" s="28"/>
    </row>
    <row r="784" x14ac:dyDescent="0.25">
      <c r="H784" s="18"/>
      <c r="I784" s="18"/>
      <c r="J784" s="18"/>
      <c r="R784" s="18"/>
      <c r="S784" s="18"/>
      <c r="AH784" s="28"/>
      <c r="AL784" s="28"/>
    </row>
    <row r="785" x14ac:dyDescent="0.25">
      <c r="H785" s="18"/>
      <c r="I785" s="18"/>
      <c r="J785" s="18"/>
      <c r="R785" s="18"/>
      <c r="S785" s="18"/>
      <c r="AH785" s="28"/>
      <c r="AL785" s="28"/>
    </row>
    <row r="786" x14ac:dyDescent="0.25">
      <c r="H786" s="18"/>
      <c r="I786" s="18"/>
      <c r="J786" s="18"/>
      <c r="R786" s="18"/>
      <c r="S786" s="18"/>
      <c r="AH786" s="28"/>
      <c r="AL786" s="28"/>
    </row>
    <row r="787" x14ac:dyDescent="0.25">
      <c r="H787" s="18"/>
      <c r="I787" s="18"/>
      <c r="J787" s="18"/>
      <c r="R787" s="18"/>
      <c r="S787" s="18"/>
      <c r="AH787" s="28"/>
      <c r="AL787" s="28"/>
    </row>
    <row r="788" x14ac:dyDescent="0.25">
      <c r="H788" s="18"/>
      <c r="I788" s="18"/>
      <c r="J788" s="18"/>
      <c r="R788" s="18"/>
      <c r="S788" s="18"/>
      <c r="AH788" s="28"/>
      <c r="AL788" s="28"/>
    </row>
    <row r="789" x14ac:dyDescent="0.25">
      <c r="H789" s="18"/>
      <c r="I789" s="18"/>
      <c r="J789" s="18"/>
      <c r="R789" s="18"/>
      <c r="S789" s="18"/>
      <c r="AH789" s="28"/>
      <c r="AL789" s="28"/>
    </row>
    <row r="790" x14ac:dyDescent="0.25">
      <c r="H790" s="18"/>
      <c r="I790" s="18"/>
      <c r="J790" s="18"/>
      <c r="R790" s="18"/>
      <c r="S790" s="18"/>
      <c r="AH790" s="28"/>
      <c r="AL790" s="28"/>
    </row>
    <row r="791" x14ac:dyDescent="0.25">
      <c r="H791" s="18"/>
      <c r="I791" s="18"/>
      <c r="J791" s="18"/>
      <c r="R791" s="18"/>
      <c r="S791" s="18"/>
      <c r="AH791" s="28"/>
      <c r="AL791" s="28"/>
    </row>
    <row r="792" x14ac:dyDescent="0.25">
      <c r="H792" s="18"/>
      <c r="I792" s="18"/>
      <c r="J792" s="18"/>
      <c r="R792" s="18"/>
      <c r="S792" s="18"/>
      <c r="AH792" s="28"/>
      <c r="AL792" s="28"/>
    </row>
    <row r="793" x14ac:dyDescent="0.25">
      <c r="H793" s="18"/>
      <c r="I793" s="18"/>
      <c r="J793" s="18"/>
      <c r="R793" s="18"/>
      <c r="S793" s="18"/>
      <c r="AH793" s="28"/>
      <c r="AL793" s="28"/>
    </row>
    <row r="794" x14ac:dyDescent="0.25">
      <c r="H794" s="18"/>
      <c r="I794" s="18"/>
      <c r="J794" s="18"/>
      <c r="R794" s="18"/>
      <c r="S794" s="18"/>
      <c r="AH794" s="28"/>
      <c r="AL794" s="28"/>
    </row>
    <row r="795" x14ac:dyDescent="0.25">
      <c r="H795" s="18"/>
      <c r="I795" s="18"/>
      <c r="J795" s="18"/>
      <c r="R795" s="18"/>
      <c r="S795" s="18"/>
      <c r="AH795" s="28"/>
      <c r="AL795" s="28"/>
    </row>
    <row r="796" x14ac:dyDescent="0.25">
      <c r="H796" s="18"/>
      <c r="I796" s="18"/>
      <c r="J796" s="18"/>
      <c r="R796" s="18"/>
      <c r="S796" s="18"/>
      <c r="AH796" s="28"/>
      <c r="AL796" s="28"/>
    </row>
    <row r="797" x14ac:dyDescent="0.25">
      <c r="H797" s="18"/>
      <c r="I797" s="18"/>
      <c r="J797" s="18"/>
      <c r="R797" s="18"/>
      <c r="S797" s="18"/>
      <c r="AH797" s="28"/>
      <c r="AL797" s="28"/>
    </row>
    <row r="798" x14ac:dyDescent="0.25">
      <c r="H798" s="18"/>
      <c r="I798" s="18"/>
      <c r="J798" s="18"/>
      <c r="R798" s="18"/>
      <c r="S798" s="18"/>
      <c r="AH798" s="28"/>
      <c r="AL798" s="28"/>
    </row>
    <row r="799" x14ac:dyDescent="0.25">
      <c r="H799" s="18"/>
      <c r="I799" s="18"/>
      <c r="J799" s="18"/>
      <c r="R799" s="18"/>
      <c r="S799" s="18"/>
      <c r="AH799" s="28"/>
      <c r="AL799" s="28"/>
    </row>
    <row r="800" x14ac:dyDescent="0.25">
      <c r="H800" s="18"/>
      <c r="I800" s="18"/>
      <c r="J800" s="18"/>
      <c r="R800" s="18"/>
      <c r="S800" s="18"/>
      <c r="AH800" s="28"/>
      <c r="AL800" s="28"/>
    </row>
    <row r="801" x14ac:dyDescent="0.25">
      <c r="H801" s="18"/>
      <c r="I801" s="18"/>
      <c r="J801" s="18"/>
      <c r="R801" s="18"/>
      <c r="S801" s="18"/>
      <c r="AH801" s="28"/>
      <c r="AL801" s="28"/>
    </row>
    <row r="802" x14ac:dyDescent="0.25">
      <c r="H802" s="18"/>
      <c r="I802" s="18"/>
      <c r="J802" s="18"/>
      <c r="R802" s="18"/>
      <c r="S802" s="18"/>
      <c r="AH802" s="28"/>
      <c r="AL802" s="28"/>
    </row>
    <row r="803" x14ac:dyDescent="0.25">
      <c r="H803" s="18"/>
      <c r="I803" s="18"/>
      <c r="J803" s="18"/>
      <c r="R803" s="18"/>
      <c r="S803" s="18"/>
      <c r="AH803" s="28"/>
      <c r="AL803" s="28"/>
    </row>
    <row r="804" x14ac:dyDescent="0.25">
      <c r="H804" s="18"/>
      <c r="I804" s="18"/>
      <c r="J804" s="18"/>
      <c r="R804" s="18"/>
      <c r="S804" s="18"/>
      <c r="AH804" s="28"/>
      <c r="AL804" s="28"/>
    </row>
    <row r="805" x14ac:dyDescent="0.25">
      <c r="H805" s="18"/>
      <c r="I805" s="18"/>
      <c r="J805" s="18"/>
      <c r="R805" s="18"/>
      <c r="S805" s="18"/>
      <c r="AH805" s="28"/>
      <c r="AL805" s="28"/>
    </row>
    <row r="806" x14ac:dyDescent="0.25">
      <c r="H806" s="18"/>
      <c r="I806" s="18"/>
      <c r="J806" s="18"/>
      <c r="R806" s="18"/>
      <c r="S806" s="18"/>
      <c r="AH806" s="28"/>
      <c r="AL806" s="28"/>
    </row>
    <row r="807" x14ac:dyDescent="0.25">
      <c r="H807" s="18"/>
      <c r="I807" s="18"/>
      <c r="J807" s="18"/>
      <c r="R807" s="18"/>
      <c r="S807" s="18"/>
      <c r="AH807" s="28"/>
      <c r="AL807" s="28"/>
    </row>
    <row r="808" x14ac:dyDescent="0.25">
      <c r="H808" s="18"/>
      <c r="I808" s="18"/>
      <c r="J808" s="18"/>
      <c r="R808" s="18"/>
      <c r="S808" s="18"/>
      <c r="AH808" s="28"/>
      <c r="AL808" s="28"/>
    </row>
    <row r="809" x14ac:dyDescent="0.25">
      <c r="H809" s="18"/>
      <c r="I809" s="18"/>
      <c r="J809" s="18"/>
      <c r="R809" s="18"/>
      <c r="S809" s="18"/>
      <c r="AH809" s="28"/>
      <c r="AL809" s="28"/>
    </row>
    <row r="810" x14ac:dyDescent="0.25">
      <c r="H810" s="18"/>
      <c r="I810" s="18"/>
      <c r="J810" s="18"/>
      <c r="R810" s="18"/>
      <c r="S810" s="18"/>
      <c r="AH810" s="28"/>
      <c r="AL810" s="28"/>
    </row>
    <row r="811" x14ac:dyDescent="0.25">
      <c r="H811" s="18"/>
      <c r="I811" s="18"/>
      <c r="J811" s="18"/>
      <c r="R811" s="18"/>
      <c r="S811" s="18"/>
      <c r="AH811" s="28"/>
      <c r="AL811" s="28"/>
    </row>
    <row r="812" x14ac:dyDescent="0.25">
      <c r="H812" s="18"/>
      <c r="I812" s="18"/>
      <c r="J812" s="18"/>
      <c r="R812" s="18"/>
      <c r="S812" s="18"/>
      <c r="AH812" s="28"/>
      <c r="AL812" s="28"/>
    </row>
    <row r="813" x14ac:dyDescent="0.25">
      <c r="H813" s="18"/>
      <c r="I813" s="18"/>
      <c r="J813" s="18"/>
      <c r="R813" s="18"/>
      <c r="S813" s="18"/>
      <c r="AH813" s="28"/>
      <c r="AL813" s="28"/>
    </row>
    <row r="814" x14ac:dyDescent="0.25">
      <c r="H814" s="18"/>
      <c r="I814" s="18"/>
      <c r="J814" s="18"/>
      <c r="R814" s="18"/>
      <c r="S814" s="18"/>
      <c r="AH814" s="28"/>
      <c r="AL814" s="28"/>
    </row>
    <row r="815" x14ac:dyDescent="0.25">
      <c r="H815" s="18"/>
      <c r="I815" s="18"/>
      <c r="J815" s="18"/>
      <c r="R815" s="18"/>
      <c r="S815" s="18"/>
      <c r="AH815" s="28"/>
      <c r="AL815" s="28"/>
    </row>
    <row r="816" x14ac:dyDescent="0.25">
      <c r="H816" s="18"/>
      <c r="I816" s="18"/>
      <c r="J816" s="18"/>
      <c r="R816" s="18"/>
      <c r="S816" s="18"/>
      <c r="AH816" s="28"/>
      <c r="AL816" s="28"/>
    </row>
    <row r="817" x14ac:dyDescent="0.25">
      <c r="H817" s="18"/>
      <c r="I817" s="18"/>
      <c r="J817" s="18"/>
      <c r="R817" s="18"/>
      <c r="S817" s="18"/>
      <c r="AH817" s="28"/>
      <c r="AL817" s="28"/>
    </row>
    <row r="818" x14ac:dyDescent="0.25">
      <c r="H818" s="18"/>
      <c r="I818" s="18"/>
      <c r="J818" s="18"/>
      <c r="R818" s="18"/>
      <c r="S818" s="18"/>
      <c r="AH818" s="28"/>
      <c r="AL818" s="28"/>
    </row>
    <row r="819" x14ac:dyDescent="0.25">
      <c r="H819" s="18"/>
      <c r="I819" s="18"/>
      <c r="J819" s="18"/>
      <c r="R819" s="18"/>
      <c r="S819" s="18"/>
      <c r="AH819" s="28"/>
      <c r="AL819" s="28"/>
    </row>
    <row r="820" x14ac:dyDescent="0.25">
      <c r="H820" s="18"/>
      <c r="I820" s="18"/>
      <c r="J820" s="18"/>
      <c r="R820" s="18"/>
      <c r="S820" s="18"/>
      <c r="AH820" s="28"/>
      <c r="AL820" s="28"/>
    </row>
    <row r="821" x14ac:dyDescent="0.25">
      <c r="H821" s="18"/>
      <c r="I821" s="18"/>
      <c r="J821" s="18"/>
      <c r="R821" s="18"/>
      <c r="S821" s="18"/>
      <c r="AH821" s="28"/>
      <c r="AL821" s="28"/>
    </row>
    <row r="822" x14ac:dyDescent="0.25">
      <c r="H822" s="18"/>
      <c r="I822" s="18"/>
      <c r="J822" s="18"/>
      <c r="R822" s="18"/>
      <c r="S822" s="18"/>
      <c r="AH822" s="28"/>
      <c r="AL822" s="28"/>
    </row>
    <row r="823" x14ac:dyDescent="0.25">
      <c r="H823" s="18"/>
      <c r="I823" s="18"/>
      <c r="J823" s="18"/>
      <c r="R823" s="18"/>
      <c r="S823" s="18"/>
      <c r="AH823" s="28"/>
      <c r="AL823" s="28"/>
    </row>
    <row r="824" x14ac:dyDescent="0.25">
      <c r="H824" s="18"/>
      <c r="I824" s="18"/>
      <c r="J824" s="18"/>
      <c r="R824" s="18"/>
      <c r="S824" s="18"/>
      <c r="AH824" s="28"/>
      <c r="AL824" s="28"/>
    </row>
    <row r="825" x14ac:dyDescent="0.25">
      <c r="H825" s="18"/>
      <c r="I825" s="18"/>
      <c r="J825" s="18"/>
      <c r="R825" s="18"/>
      <c r="S825" s="18"/>
      <c r="AH825" s="28"/>
      <c r="AL825" s="28"/>
    </row>
    <row r="826" x14ac:dyDescent="0.25">
      <c r="H826" s="18"/>
      <c r="I826" s="18"/>
      <c r="J826" s="18"/>
      <c r="R826" s="18"/>
      <c r="S826" s="18"/>
      <c r="AH826" s="28"/>
      <c r="AL826" s="28"/>
    </row>
    <row r="827" x14ac:dyDescent="0.25">
      <c r="H827" s="18"/>
      <c r="I827" s="18"/>
      <c r="J827" s="18"/>
      <c r="R827" s="18"/>
      <c r="S827" s="18"/>
      <c r="AH827" s="28"/>
      <c r="AL827" s="28"/>
    </row>
    <row r="828" x14ac:dyDescent="0.25">
      <c r="H828" s="18"/>
      <c r="I828" s="18"/>
      <c r="J828" s="18"/>
      <c r="R828" s="18"/>
      <c r="S828" s="18"/>
      <c r="AH828" s="28"/>
      <c r="AL828" s="28"/>
    </row>
    <row r="829" x14ac:dyDescent="0.25">
      <c r="H829" s="18"/>
      <c r="I829" s="18"/>
      <c r="J829" s="18"/>
      <c r="R829" s="18"/>
      <c r="S829" s="18"/>
      <c r="AH829" s="28"/>
      <c r="AL829" s="28"/>
    </row>
    <row r="830" x14ac:dyDescent="0.25">
      <c r="H830" s="18"/>
      <c r="I830" s="18"/>
      <c r="J830" s="18"/>
      <c r="R830" s="18"/>
      <c r="S830" s="18"/>
      <c r="AH830" s="28"/>
      <c r="AL830" s="28"/>
    </row>
    <row r="831" x14ac:dyDescent="0.25">
      <c r="H831" s="18"/>
      <c r="I831" s="18"/>
      <c r="J831" s="18"/>
      <c r="R831" s="18"/>
      <c r="S831" s="18"/>
      <c r="AH831" s="28"/>
      <c r="AL831" s="28"/>
    </row>
    <row r="832" x14ac:dyDescent="0.25">
      <c r="H832" s="18"/>
      <c r="I832" s="18"/>
      <c r="J832" s="18"/>
      <c r="R832" s="18"/>
      <c r="S832" s="18"/>
      <c r="AH832" s="28"/>
      <c r="AL832" s="28"/>
    </row>
    <row r="833" x14ac:dyDescent="0.25">
      <c r="H833" s="18"/>
      <c r="I833" s="18"/>
      <c r="J833" s="18"/>
      <c r="R833" s="18"/>
      <c r="S833" s="18"/>
      <c r="AH833" s="28"/>
      <c r="AL833" s="28"/>
    </row>
    <row r="834" x14ac:dyDescent="0.25">
      <c r="H834" s="18"/>
      <c r="I834" s="18"/>
      <c r="J834" s="18"/>
      <c r="R834" s="18"/>
      <c r="S834" s="18"/>
      <c r="AH834" s="28"/>
      <c r="AL834" s="28"/>
    </row>
    <row r="835" x14ac:dyDescent="0.25">
      <c r="H835" s="18"/>
      <c r="I835" s="18"/>
      <c r="J835" s="18"/>
      <c r="R835" s="18"/>
      <c r="S835" s="18"/>
      <c r="AH835" s="28"/>
      <c r="AL835" s="28"/>
    </row>
    <row r="836" x14ac:dyDescent="0.25">
      <c r="H836" s="18"/>
      <c r="I836" s="18"/>
      <c r="J836" s="18"/>
      <c r="R836" s="18"/>
      <c r="S836" s="18"/>
      <c r="AH836" s="28"/>
      <c r="AL836" s="28"/>
    </row>
    <row r="837" x14ac:dyDescent="0.25">
      <c r="H837" s="18"/>
      <c r="I837" s="18"/>
      <c r="J837" s="18"/>
      <c r="R837" s="18"/>
      <c r="S837" s="18"/>
      <c r="AH837" s="28"/>
      <c r="AL837" s="28"/>
    </row>
    <row r="838" x14ac:dyDescent="0.25">
      <c r="H838" s="18"/>
      <c r="I838" s="18"/>
      <c r="J838" s="18"/>
      <c r="R838" s="18"/>
      <c r="S838" s="18"/>
      <c r="AH838" s="28"/>
      <c r="AL838" s="28"/>
    </row>
    <row r="839" x14ac:dyDescent="0.25">
      <c r="H839" s="18"/>
      <c r="I839" s="18"/>
      <c r="J839" s="18"/>
      <c r="R839" s="18"/>
      <c r="S839" s="18"/>
      <c r="AH839" s="28"/>
      <c r="AL839" s="28"/>
    </row>
    <row r="840" x14ac:dyDescent="0.25">
      <c r="H840" s="18"/>
      <c r="I840" s="18"/>
      <c r="J840" s="18"/>
      <c r="R840" s="18"/>
      <c r="S840" s="18"/>
      <c r="AH840" s="28"/>
      <c r="AL840" s="28"/>
    </row>
    <row r="841" x14ac:dyDescent="0.25">
      <c r="H841" s="18"/>
      <c r="I841" s="18"/>
      <c r="J841" s="18"/>
      <c r="R841" s="18"/>
      <c r="S841" s="18"/>
      <c r="AH841" s="28"/>
      <c r="AL841" s="28"/>
    </row>
    <row r="842" x14ac:dyDescent="0.25">
      <c r="H842" s="18"/>
      <c r="I842" s="18"/>
      <c r="J842" s="18"/>
      <c r="R842" s="18"/>
      <c r="S842" s="18"/>
      <c r="AH842" s="28"/>
      <c r="AL842" s="28"/>
    </row>
    <row r="843" x14ac:dyDescent="0.25">
      <c r="H843" s="18"/>
      <c r="I843" s="18"/>
      <c r="J843" s="18"/>
      <c r="R843" s="18"/>
      <c r="S843" s="18"/>
      <c r="AH843" s="28"/>
      <c r="AL843" s="28"/>
    </row>
    <row r="844" x14ac:dyDescent="0.25">
      <c r="H844" s="18"/>
      <c r="I844" s="18"/>
      <c r="J844" s="18"/>
      <c r="R844" s="18"/>
      <c r="S844" s="18"/>
      <c r="AH844" s="28"/>
      <c r="AL844" s="28"/>
    </row>
    <row r="845" x14ac:dyDescent="0.25">
      <c r="H845" s="18"/>
      <c r="I845" s="18"/>
      <c r="J845" s="18"/>
      <c r="R845" s="18"/>
      <c r="S845" s="18"/>
      <c r="AH845" s="28"/>
      <c r="AL845" s="28"/>
    </row>
    <row r="846" x14ac:dyDescent="0.25">
      <c r="H846" s="18"/>
      <c r="I846" s="18"/>
      <c r="J846" s="18"/>
      <c r="R846" s="18"/>
      <c r="S846" s="18"/>
      <c r="AH846" s="28"/>
      <c r="AL846" s="28"/>
    </row>
    <row r="847" x14ac:dyDescent="0.25">
      <c r="H847" s="18"/>
      <c r="I847" s="18"/>
      <c r="J847" s="18"/>
      <c r="R847" s="18"/>
      <c r="S847" s="18"/>
      <c r="AH847" s="28"/>
      <c r="AL847" s="28"/>
    </row>
    <row r="848" x14ac:dyDescent="0.25">
      <c r="H848" s="18"/>
      <c r="I848" s="18"/>
      <c r="J848" s="18"/>
      <c r="R848" s="18"/>
      <c r="S848" s="18"/>
      <c r="AH848" s="28"/>
      <c r="AL848" s="28"/>
    </row>
    <row r="849" x14ac:dyDescent="0.25">
      <c r="H849" s="18"/>
      <c r="I849" s="18"/>
      <c r="J849" s="18"/>
      <c r="R849" s="18"/>
      <c r="S849" s="18"/>
      <c r="AH849" s="28"/>
      <c r="AL849" s="28"/>
    </row>
    <row r="850" x14ac:dyDescent="0.25">
      <c r="H850" s="18"/>
      <c r="I850" s="18"/>
      <c r="J850" s="18"/>
      <c r="R850" s="18"/>
      <c r="S850" s="18"/>
      <c r="AH850" s="28"/>
      <c r="AL850" s="28"/>
    </row>
    <row r="851" x14ac:dyDescent="0.25">
      <c r="H851" s="18"/>
      <c r="I851" s="18"/>
      <c r="J851" s="18"/>
      <c r="R851" s="18"/>
      <c r="S851" s="18"/>
      <c r="AH851" s="28"/>
      <c r="AL851" s="28"/>
    </row>
    <row r="852" x14ac:dyDescent="0.25">
      <c r="H852" s="18"/>
      <c r="I852" s="18"/>
      <c r="J852" s="18"/>
      <c r="R852" s="18"/>
      <c r="S852" s="18"/>
      <c r="AH852" s="28"/>
      <c r="AL852" s="28"/>
    </row>
    <row r="853" x14ac:dyDescent="0.25">
      <c r="H853" s="18"/>
      <c r="I853" s="18"/>
      <c r="J853" s="18"/>
      <c r="R853" s="18"/>
      <c r="S853" s="18"/>
      <c r="AH853" s="28"/>
      <c r="AL853" s="28"/>
    </row>
    <row r="854" x14ac:dyDescent="0.25">
      <c r="H854" s="18"/>
      <c r="I854" s="18"/>
      <c r="J854" s="18"/>
      <c r="R854" s="18"/>
      <c r="S854" s="18"/>
      <c r="AH854" s="28"/>
      <c r="AL854" s="28"/>
    </row>
    <row r="855" x14ac:dyDescent="0.25">
      <c r="H855" s="18"/>
      <c r="I855" s="18"/>
      <c r="J855" s="18"/>
      <c r="R855" s="18"/>
      <c r="S855" s="18"/>
      <c r="AH855" s="28"/>
      <c r="AL855" s="28"/>
    </row>
    <row r="856" x14ac:dyDescent="0.25">
      <c r="H856" s="18"/>
      <c r="I856" s="18"/>
      <c r="J856" s="18"/>
      <c r="R856" s="18"/>
      <c r="S856" s="18"/>
      <c r="AH856" s="28"/>
      <c r="AL856" s="28"/>
    </row>
    <row r="857" x14ac:dyDescent="0.25">
      <c r="H857" s="18"/>
      <c r="I857" s="18"/>
      <c r="J857" s="18"/>
      <c r="R857" s="18"/>
      <c r="S857" s="18"/>
      <c r="AH857" s="28"/>
      <c r="AL857" s="28"/>
    </row>
    <row r="858" x14ac:dyDescent="0.25">
      <c r="H858" s="18"/>
      <c r="I858" s="18"/>
      <c r="J858" s="18"/>
      <c r="R858" s="18"/>
      <c r="S858" s="18"/>
      <c r="AH858" s="28"/>
      <c r="AL858" s="28"/>
    </row>
    <row r="859" x14ac:dyDescent="0.25">
      <c r="H859" s="18"/>
      <c r="I859" s="18"/>
      <c r="J859" s="18"/>
      <c r="R859" s="18"/>
      <c r="S859" s="18"/>
      <c r="AH859" s="28"/>
      <c r="AL859" s="28"/>
    </row>
    <row r="860" x14ac:dyDescent="0.25">
      <c r="H860" s="18"/>
      <c r="I860" s="18"/>
      <c r="J860" s="18"/>
      <c r="R860" s="18"/>
      <c r="S860" s="18"/>
      <c r="AH860" s="28"/>
      <c r="AL860" s="28"/>
    </row>
    <row r="861" x14ac:dyDescent="0.25">
      <c r="H861" s="18"/>
      <c r="I861" s="18"/>
      <c r="J861" s="18"/>
      <c r="R861" s="18"/>
      <c r="S861" s="18"/>
      <c r="AH861" s="28"/>
      <c r="AL861" s="28"/>
    </row>
    <row r="862" x14ac:dyDescent="0.25">
      <c r="H862" s="18"/>
      <c r="I862" s="18"/>
      <c r="J862" s="18"/>
      <c r="R862" s="18"/>
      <c r="S862" s="18"/>
      <c r="AH862" s="28"/>
      <c r="AL862" s="28"/>
    </row>
    <row r="863" x14ac:dyDescent="0.25">
      <c r="H863" s="18"/>
      <c r="I863" s="18"/>
      <c r="J863" s="18"/>
      <c r="R863" s="18"/>
      <c r="S863" s="18"/>
      <c r="AH863" s="28"/>
      <c r="AL863" s="28"/>
    </row>
    <row r="864" x14ac:dyDescent="0.25">
      <c r="H864" s="18"/>
      <c r="I864" s="18"/>
      <c r="J864" s="18"/>
      <c r="R864" s="18"/>
      <c r="S864" s="18"/>
      <c r="AH864" s="28"/>
      <c r="AL864" s="28"/>
    </row>
    <row r="865" x14ac:dyDescent="0.25">
      <c r="H865" s="18"/>
      <c r="I865" s="18"/>
      <c r="J865" s="18"/>
      <c r="R865" s="18"/>
      <c r="S865" s="18"/>
      <c r="AH865" s="28"/>
      <c r="AL865" s="28"/>
    </row>
    <row r="866" x14ac:dyDescent="0.25">
      <c r="H866" s="18"/>
      <c r="I866" s="18"/>
      <c r="J866" s="18"/>
      <c r="R866" s="18"/>
      <c r="S866" s="18"/>
      <c r="AH866" s="28"/>
      <c r="AL866" s="28"/>
    </row>
    <row r="867" x14ac:dyDescent="0.25">
      <c r="H867" s="18"/>
      <c r="I867" s="18"/>
      <c r="J867" s="18"/>
      <c r="R867" s="18"/>
      <c r="S867" s="18"/>
      <c r="AH867" s="28"/>
      <c r="AL867" s="28"/>
    </row>
    <row r="868" x14ac:dyDescent="0.25">
      <c r="H868" s="18"/>
      <c r="I868" s="18"/>
      <c r="J868" s="18"/>
      <c r="R868" s="18"/>
      <c r="S868" s="18"/>
      <c r="AH868" s="28"/>
      <c r="AL868" s="28"/>
    </row>
    <row r="869" x14ac:dyDescent="0.25">
      <c r="H869" s="18"/>
      <c r="I869" s="18"/>
      <c r="J869" s="18"/>
      <c r="R869" s="18"/>
      <c r="S869" s="18"/>
      <c r="AH869" s="28"/>
      <c r="AL869" s="28"/>
    </row>
    <row r="870" x14ac:dyDescent="0.25">
      <c r="H870" s="18"/>
      <c r="I870" s="18"/>
      <c r="J870" s="18"/>
      <c r="R870" s="18"/>
      <c r="S870" s="18"/>
      <c r="AH870" s="28"/>
      <c r="AL870" s="28"/>
    </row>
    <row r="871" x14ac:dyDescent="0.25">
      <c r="H871" s="18"/>
      <c r="I871" s="18"/>
      <c r="J871" s="18"/>
      <c r="R871" s="18"/>
      <c r="S871" s="18"/>
      <c r="AH871" s="28"/>
      <c r="AL871" s="28"/>
    </row>
    <row r="872" x14ac:dyDescent="0.25">
      <c r="H872" s="18"/>
      <c r="I872" s="18"/>
      <c r="J872" s="18"/>
      <c r="R872" s="18"/>
      <c r="S872" s="18"/>
      <c r="AH872" s="28"/>
      <c r="AL872" s="28"/>
    </row>
    <row r="873" x14ac:dyDescent="0.25">
      <c r="H873" s="18"/>
      <c r="I873" s="18"/>
      <c r="J873" s="18"/>
      <c r="R873" s="18"/>
      <c r="S873" s="18"/>
      <c r="AH873" s="28"/>
      <c r="AL873" s="28"/>
    </row>
    <row r="874" x14ac:dyDescent="0.25">
      <c r="H874" s="18"/>
      <c r="I874" s="18"/>
      <c r="J874" s="18"/>
      <c r="R874" s="18"/>
      <c r="S874" s="18"/>
      <c r="AH874" s="28"/>
      <c r="AL874" s="28"/>
    </row>
    <row r="875" x14ac:dyDescent="0.25">
      <c r="H875" s="18"/>
      <c r="I875" s="18"/>
      <c r="J875" s="18"/>
      <c r="R875" s="18"/>
      <c r="S875" s="18"/>
      <c r="AH875" s="28"/>
      <c r="AL875" s="28"/>
    </row>
    <row r="876" x14ac:dyDescent="0.25">
      <c r="H876" s="18"/>
      <c r="I876" s="18"/>
      <c r="J876" s="18"/>
      <c r="R876" s="18"/>
      <c r="S876" s="18"/>
      <c r="AH876" s="28"/>
      <c r="AL876" s="28"/>
    </row>
    <row r="877" x14ac:dyDescent="0.25">
      <c r="H877" s="18"/>
      <c r="I877" s="18"/>
      <c r="J877" s="18"/>
      <c r="R877" s="18"/>
      <c r="S877" s="18"/>
      <c r="AH877" s="28"/>
      <c r="AL877" s="28"/>
    </row>
    <row r="878" x14ac:dyDescent="0.25">
      <c r="H878" s="18"/>
      <c r="I878" s="18"/>
      <c r="J878" s="18"/>
      <c r="R878" s="18"/>
      <c r="S878" s="18"/>
      <c r="AH878" s="28"/>
      <c r="AL878" s="28"/>
    </row>
    <row r="879" x14ac:dyDescent="0.25">
      <c r="H879" s="18"/>
      <c r="I879" s="18"/>
      <c r="J879" s="18"/>
      <c r="R879" s="18"/>
      <c r="S879" s="18"/>
      <c r="AH879" s="28"/>
      <c r="AL879" s="28"/>
    </row>
    <row r="880" x14ac:dyDescent="0.25">
      <c r="H880" s="18"/>
      <c r="I880" s="18"/>
      <c r="J880" s="18"/>
      <c r="R880" s="18"/>
      <c r="S880" s="18"/>
      <c r="AH880" s="28"/>
      <c r="AL880" s="28"/>
    </row>
    <row r="881" x14ac:dyDescent="0.25">
      <c r="H881" s="18"/>
      <c r="I881" s="18"/>
      <c r="J881" s="18"/>
      <c r="R881" s="18"/>
      <c r="S881" s="18"/>
      <c r="AH881" s="28"/>
      <c r="AL881" s="28"/>
    </row>
    <row r="882" x14ac:dyDescent="0.25">
      <c r="H882" s="18"/>
      <c r="I882" s="18"/>
      <c r="J882" s="18"/>
      <c r="R882" s="18"/>
      <c r="S882" s="18"/>
      <c r="AH882" s="28"/>
      <c r="AL882" s="28"/>
    </row>
    <row r="883" x14ac:dyDescent="0.25">
      <c r="H883" s="18"/>
      <c r="I883" s="18"/>
      <c r="J883" s="18"/>
      <c r="R883" s="18"/>
      <c r="S883" s="18"/>
      <c r="AH883" s="28"/>
      <c r="AL883" s="28"/>
    </row>
    <row r="884" x14ac:dyDescent="0.25">
      <c r="H884" s="18"/>
      <c r="I884" s="18"/>
      <c r="J884" s="18"/>
      <c r="R884" s="18"/>
      <c r="S884" s="18"/>
      <c r="AH884" s="28"/>
      <c r="AL884" s="28"/>
    </row>
    <row r="885" x14ac:dyDescent="0.25">
      <c r="H885" s="18"/>
      <c r="I885" s="18"/>
      <c r="J885" s="18"/>
      <c r="R885" s="18"/>
      <c r="S885" s="18"/>
      <c r="AH885" s="28"/>
      <c r="AL885" s="28"/>
    </row>
    <row r="886" x14ac:dyDescent="0.25">
      <c r="H886" s="18"/>
      <c r="I886" s="18"/>
      <c r="J886" s="18"/>
      <c r="R886" s="18"/>
      <c r="S886" s="18"/>
      <c r="AH886" s="28"/>
      <c r="AL886" s="28"/>
    </row>
    <row r="887" x14ac:dyDescent="0.25">
      <c r="H887" s="18"/>
      <c r="I887" s="18"/>
      <c r="J887" s="18"/>
      <c r="R887" s="18"/>
      <c r="S887" s="18"/>
      <c r="AH887" s="28"/>
      <c r="AL887" s="28"/>
    </row>
    <row r="888" x14ac:dyDescent="0.25">
      <c r="H888" s="18"/>
      <c r="I888" s="18"/>
      <c r="J888" s="18"/>
      <c r="R888" s="18"/>
      <c r="S888" s="18"/>
      <c r="AH888" s="28"/>
      <c r="AL888" s="28"/>
    </row>
    <row r="889" x14ac:dyDescent="0.25">
      <c r="H889" s="18"/>
      <c r="I889" s="18"/>
      <c r="J889" s="18"/>
      <c r="R889" s="18"/>
      <c r="S889" s="18"/>
      <c r="AH889" s="28"/>
      <c r="AL889" s="28"/>
    </row>
    <row r="890" x14ac:dyDescent="0.25">
      <c r="H890" s="18"/>
      <c r="I890" s="18"/>
      <c r="J890" s="18"/>
      <c r="R890" s="18"/>
      <c r="S890" s="18"/>
      <c r="AH890" s="28"/>
      <c r="AL890" s="28"/>
    </row>
    <row r="891" x14ac:dyDescent="0.25">
      <c r="H891" s="18"/>
      <c r="I891" s="18"/>
      <c r="J891" s="18"/>
      <c r="R891" s="18"/>
      <c r="S891" s="18"/>
      <c r="AH891" s="28"/>
      <c r="AL891" s="28"/>
    </row>
    <row r="892" x14ac:dyDescent="0.25">
      <c r="H892" s="18"/>
      <c r="I892" s="18"/>
      <c r="J892" s="18"/>
      <c r="R892" s="18"/>
      <c r="S892" s="18"/>
      <c r="AH892" s="28"/>
      <c r="AL892" s="28"/>
    </row>
    <row r="893" x14ac:dyDescent="0.25">
      <c r="H893" s="18"/>
      <c r="I893" s="18"/>
      <c r="J893" s="18"/>
      <c r="R893" s="18"/>
      <c r="S893" s="18"/>
      <c r="AH893" s="28"/>
      <c r="AL893" s="28"/>
    </row>
    <row r="894" x14ac:dyDescent="0.25">
      <c r="H894" s="18"/>
      <c r="I894" s="18"/>
      <c r="J894" s="18"/>
      <c r="R894" s="18"/>
      <c r="S894" s="18"/>
      <c r="AH894" s="28"/>
      <c r="AL894" s="28"/>
    </row>
    <row r="895" x14ac:dyDescent="0.25">
      <c r="H895" s="18"/>
      <c r="I895" s="18"/>
      <c r="J895" s="18"/>
      <c r="R895" s="18"/>
      <c r="S895" s="18"/>
      <c r="AH895" s="28"/>
      <c r="AL895" s="28"/>
    </row>
    <row r="896" x14ac:dyDescent="0.25">
      <c r="H896" s="18"/>
      <c r="I896" s="18"/>
      <c r="J896" s="18"/>
      <c r="R896" s="18"/>
      <c r="S896" s="18"/>
      <c r="AH896" s="28"/>
      <c r="AL896" s="28"/>
    </row>
    <row r="897" x14ac:dyDescent="0.25">
      <c r="H897" s="18"/>
      <c r="I897" s="18"/>
      <c r="J897" s="18"/>
      <c r="R897" s="18"/>
      <c r="S897" s="18"/>
      <c r="AH897" s="28"/>
      <c r="AL897" s="28"/>
    </row>
    <row r="898" x14ac:dyDescent="0.25">
      <c r="H898" s="18"/>
      <c r="I898" s="18"/>
      <c r="J898" s="18"/>
      <c r="R898" s="18"/>
      <c r="S898" s="18"/>
      <c r="AH898" s="28"/>
      <c r="AL898" s="28"/>
    </row>
    <row r="899" x14ac:dyDescent="0.25">
      <c r="H899" s="18"/>
      <c r="I899" s="18"/>
      <c r="J899" s="18"/>
      <c r="R899" s="18"/>
      <c r="S899" s="18"/>
      <c r="AH899" s="28"/>
      <c r="AL899" s="28"/>
    </row>
    <row r="900" x14ac:dyDescent="0.25">
      <c r="H900" s="18"/>
      <c r="I900" s="18"/>
      <c r="J900" s="18"/>
      <c r="R900" s="18"/>
      <c r="S900" s="18"/>
      <c r="AH900" s="28"/>
      <c r="AL900" s="28"/>
    </row>
    <row r="901" x14ac:dyDescent="0.25">
      <c r="H901" s="18"/>
      <c r="I901" s="18"/>
      <c r="J901" s="18"/>
      <c r="R901" s="18"/>
      <c r="S901" s="18"/>
      <c r="AH901" s="28"/>
      <c r="AL901" s="28"/>
    </row>
    <row r="902" x14ac:dyDescent="0.25">
      <c r="H902" s="18"/>
      <c r="I902" s="18"/>
      <c r="J902" s="18"/>
      <c r="R902" s="18"/>
      <c r="S902" s="18"/>
      <c r="AH902" s="28"/>
      <c r="AL902" s="28"/>
    </row>
    <row r="903" x14ac:dyDescent="0.25">
      <c r="H903" s="18"/>
      <c r="I903" s="18"/>
      <c r="J903" s="18"/>
      <c r="R903" s="18"/>
      <c r="S903" s="18"/>
      <c r="AH903" s="28"/>
      <c r="AL903" s="28"/>
    </row>
    <row r="904" x14ac:dyDescent="0.25">
      <c r="H904" s="18"/>
      <c r="I904" s="18"/>
      <c r="J904" s="18"/>
      <c r="R904" s="18"/>
      <c r="S904" s="18"/>
      <c r="AH904" s="28"/>
      <c r="AL904" s="28"/>
    </row>
    <row r="905" x14ac:dyDescent="0.25">
      <c r="H905" s="18"/>
      <c r="I905" s="18"/>
      <c r="J905" s="18"/>
      <c r="R905" s="18"/>
      <c r="S905" s="18"/>
      <c r="AH905" s="28"/>
      <c r="AL905" s="28"/>
    </row>
    <row r="906" x14ac:dyDescent="0.25">
      <c r="H906" s="18"/>
      <c r="I906" s="18"/>
      <c r="J906" s="18"/>
      <c r="R906" s="18"/>
      <c r="S906" s="18"/>
      <c r="AH906" s="28"/>
      <c r="AL906" s="28"/>
    </row>
    <row r="907" x14ac:dyDescent="0.25">
      <c r="H907" s="18"/>
      <c r="I907" s="18"/>
      <c r="J907" s="18"/>
      <c r="R907" s="18"/>
      <c r="S907" s="18"/>
      <c r="AH907" s="28"/>
      <c r="AL907" s="28"/>
    </row>
    <row r="908" x14ac:dyDescent="0.25">
      <c r="H908" s="18"/>
      <c r="I908" s="18"/>
      <c r="J908" s="18"/>
      <c r="R908" s="18"/>
      <c r="S908" s="18"/>
      <c r="AH908" s="28"/>
      <c r="AL908" s="28"/>
    </row>
    <row r="909" x14ac:dyDescent="0.25">
      <c r="H909" s="18"/>
      <c r="I909" s="18"/>
      <c r="J909" s="18"/>
      <c r="R909" s="18"/>
      <c r="S909" s="18"/>
      <c r="AH909" s="28"/>
      <c r="AL909" s="28"/>
    </row>
    <row r="910" x14ac:dyDescent="0.25">
      <c r="H910" s="18"/>
      <c r="I910" s="18"/>
      <c r="J910" s="18"/>
      <c r="R910" s="18"/>
      <c r="S910" s="18"/>
      <c r="AH910" s="28"/>
      <c r="AL910" s="28"/>
    </row>
    <row r="911" x14ac:dyDescent="0.25">
      <c r="H911" s="18"/>
      <c r="I911" s="18"/>
      <c r="J911" s="18"/>
      <c r="R911" s="18"/>
      <c r="S911" s="18"/>
      <c r="AH911" s="28"/>
      <c r="AL911" s="28"/>
    </row>
    <row r="912" x14ac:dyDescent="0.25">
      <c r="H912" s="18"/>
      <c r="I912" s="18"/>
      <c r="J912" s="18"/>
      <c r="R912" s="18"/>
      <c r="S912" s="18"/>
      <c r="AH912" s="28"/>
      <c r="AL912" s="28"/>
    </row>
    <row r="913" x14ac:dyDescent="0.25">
      <c r="H913" s="18"/>
      <c r="I913" s="18"/>
      <c r="J913" s="18"/>
      <c r="R913" s="18"/>
      <c r="S913" s="18"/>
      <c r="AH913" s="28"/>
      <c r="AL913" s="28"/>
    </row>
    <row r="914" x14ac:dyDescent="0.25">
      <c r="H914" s="18"/>
      <c r="I914" s="18"/>
      <c r="J914" s="18"/>
      <c r="R914" s="18"/>
      <c r="S914" s="18"/>
      <c r="AH914" s="28"/>
      <c r="AL914" s="28"/>
    </row>
    <row r="915" x14ac:dyDescent="0.25">
      <c r="H915" s="18"/>
      <c r="I915" s="18"/>
      <c r="J915" s="18"/>
      <c r="R915" s="18"/>
      <c r="S915" s="18"/>
      <c r="AH915" s="28"/>
      <c r="AL915" s="28"/>
    </row>
    <row r="916" x14ac:dyDescent="0.25">
      <c r="H916" s="18"/>
      <c r="I916" s="18"/>
      <c r="J916" s="18"/>
      <c r="R916" s="18"/>
      <c r="S916" s="18"/>
      <c r="AH916" s="28"/>
      <c r="AL916" s="28"/>
    </row>
    <row r="917" x14ac:dyDescent="0.25">
      <c r="H917" s="18"/>
      <c r="I917" s="18"/>
      <c r="J917" s="18"/>
      <c r="R917" s="18"/>
      <c r="S917" s="18"/>
      <c r="AH917" s="28"/>
      <c r="AL917" s="28"/>
    </row>
    <row r="918" x14ac:dyDescent="0.25">
      <c r="H918" s="18"/>
      <c r="I918" s="18"/>
      <c r="J918" s="18"/>
      <c r="R918" s="18"/>
      <c r="S918" s="18"/>
      <c r="AH918" s="28"/>
      <c r="AL918" s="28"/>
    </row>
    <row r="919" x14ac:dyDescent="0.25">
      <c r="H919" s="18"/>
      <c r="I919" s="18"/>
      <c r="J919" s="18"/>
      <c r="R919" s="18"/>
      <c r="S919" s="18"/>
      <c r="AH919" s="28"/>
      <c r="AL919" s="28"/>
    </row>
    <row r="920" x14ac:dyDescent="0.25">
      <c r="H920" s="18"/>
      <c r="I920" s="18"/>
      <c r="J920" s="18"/>
      <c r="R920" s="18"/>
      <c r="S920" s="18"/>
      <c r="AH920" s="28"/>
      <c r="AL920" s="28"/>
    </row>
    <row r="921" x14ac:dyDescent="0.25">
      <c r="H921" s="18"/>
      <c r="I921" s="18"/>
      <c r="J921" s="18"/>
      <c r="R921" s="18"/>
      <c r="S921" s="18"/>
      <c r="AH921" s="28"/>
      <c r="AL921" s="28"/>
    </row>
    <row r="922" x14ac:dyDescent="0.25">
      <c r="H922" s="18"/>
      <c r="I922" s="18"/>
      <c r="J922" s="18"/>
      <c r="R922" s="18"/>
      <c r="S922" s="18"/>
      <c r="AH922" s="28"/>
      <c r="AL922" s="28"/>
    </row>
    <row r="923" x14ac:dyDescent="0.25">
      <c r="H923" s="18"/>
      <c r="I923" s="18"/>
      <c r="J923" s="18"/>
      <c r="R923" s="18"/>
      <c r="S923" s="18"/>
      <c r="AH923" s="28"/>
      <c r="AL923" s="28"/>
    </row>
    <row r="924" x14ac:dyDescent="0.25">
      <c r="H924" s="18"/>
      <c r="I924" s="18"/>
      <c r="J924" s="18"/>
      <c r="R924" s="18"/>
      <c r="S924" s="18"/>
      <c r="AH924" s="28"/>
      <c r="AL924" s="28"/>
    </row>
    <row r="925" x14ac:dyDescent="0.25">
      <c r="H925" s="18"/>
      <c r="I925" s="18"/>
      <c r="J925" s="18"/>
      <c r="R925" s="18"/>
      <c r="S925" s="18"/>
      <c r="AH925" s="28"/>
      <c r="AL925" s="28"/>
    </row>
    <row r="926" x14ac:dyDescent="0.25">
      <c r="H926" s="18"/>
      <c r="I926" s="18"/>
      <c r="J926" s="18"/>
      <c r="R926" s="18"/>
      <c r="S926" s="18"/>
      <c r="AH926" s="28"/>
      <c r="AL926" s="28"/>
    </row>
    <row r="927" x14ac:dyDescent="0.25">
      <c r="H927" s="18"/>
      <c r="I927" s="18"/>
      <c r="J927" s="18"/>
      <c r="R927" s="18"/>
      <c r="S927" s="18"/>
      <c r="AH927" s="28"/>
      <c r="AL927" s="28"/>
    </row>
    <row r="928" x14ac:dyDescent="0.25">
      <c r="H928" s="18"/>
      <c r="I928" s="18"/>
      <c r="J928" s="18"/>
      <c r="R928" s="18"/>
      <c r="S928" s="18"/>
      <c r="AH928" s="28"/>
      <c r="AL928" s="28"/>
    </row>
    <row r="929" x14ac:dyDescent="0.25">
      <c r="H929" s="18"/>
      <c r="I929" s="18"/>
      <c r="J929" s="18"/>
      <c r="R929" s="18"/>
      <c r="S929" s="18"/>
      <c r="AH929" s="28"/>
      <c r="AL929" s="28"/>
    </row>
    <row r="930" x14ac:dyDescent="0.25">
      <c r="H930" s="18"/>
      <c r="I930" s="18"/>
      <c r="J930" s="18"/>
      <c r="R930" s="18"/>
      <c r="S930" s="18"/>
      <c r="AH930" s="28"/>
      <c r="AL930" s="28"/>
    </row>
    <row r="931" x14ac:dyDescent="0.25">
      <c r="H931" s="18"/>
      <c r="I931" s="18"/>
      <c r="J931" s="18"/>
      <c r="R931" s="18"/>
      <c r="S931" s="18"/>
      <c r="AH931" s="28"/>
      <c r="AL931" s="28"/>
    </row>
    <row r="932" x14ac:dyDescent="0.25">
      <c r="H932" s="18"/>
      <c r="I932" s="18"/>
      <c r="J932" s="18"/>
      <c r="R932" s="18"/>
      <c r="S932" s="18"/>
      <c r="AH932" s="28"/>
      <c r="AL932" s="28"/>
    </row>
    <row r="933" x14ac:dyDescent="0.25">
      <c r="H933" s="18"/>
      <c r="I933" s="18"/>
      <c r="J933" s="18"/>
      <c r="R933" s="18"/>
      <c r="S933" s="18"/>
      <c r="AH933" s="28"/>
      <c r="AL933" s="28"/>
    </row>
    <row r="934" x14ac:dyDescent="0.25">
      <c r="H934" s="18"/>
      <c r="I934" s="18"/>
      <c r="J934" s="18"/>
      <c r="R934" s="18"/>
      <c r="S934" s="18"/>
      <c r="AH934" s="28"/>
      <c r="AL934" s="28"/>
    </row>
    <row r="935" x14ac:dyDescent="0.25">
      <c r="H935" s="18"/>
      <c r="I935" s="18"/>
      <c r="J935" s="18"/>
      <c r="R935" s="18"/>
      <c r="S935" s="18"/>
      <c r="AH935" s="28"/>
      <c r="AL935" s="28"/>
    </row>
    <row r="936" x14ac:dyDescent="0.25">
      <c r="H936" s="18"/>
      <c r="I936" s="18"/>
      <c r="J936" s="18"/>
      <c r="R936" s="18"/>
      <c r="S936" s="18"/>
      <c r="AH936" s="28"/>
      <c r="AL936" s="28"/>
    </row>
    <row r="937" x14ac:dyDescent="0.25">
      <c r="H937" s="18"/>
      <c r="I937" s="18"/>
      <c r="J937" s="18"/>
      <c r="R937" s="18"/>
      <c r="S937" s="18"/>
      <c r="AH937" s="28"/>
      <c r="AL937" s="28"/>
    </row>
    <row r="938" x14ac:dyDescent="0.25">
      <c r="H938" s="18"/>
      <c r="I938" s="18"/>
      <c r="J938" s="18"/>
      <c r="R938" s="18"/>
      <c r="S938" s="18"/>
      <c r="AH938" s="28"/>
      <c r="AL938" s="28"/>
    </row>
    <row r="939" x14ac:dyDescent="0.25">
      <c r="H939" s="18"/>
      <c r="I939" s="18"/>
      <c r="J939" s="18"/>
      <c r="R939" s="18"/>
      <c r="S939" s="18"/>
      <c r="AH939" s="28"/>
      <c r="AL939" s="28"/>
    </row>
    <row r="940" x14ac:dyDescent="0.25">
      <c r="H940" s="18"/>
      <c r="I940" s="18"/>
      <c r="J940" s="18"/>
      <c r="R940" s="18"/>
      <c r="S940" s="18"/>
      <c r="AH940" s="28"/>
      <c r="AL940" s="28"/>
    </row>
    <row r="941" x14ac:dyDescent="0.25">
      <c r="H941" s="18"/>
      <c r="I941" s="18"/>
      <c r="J941" s="18"/>
      <c r="R941" s="18"/>
      <c r="S941" s="18"/>
      <c r="AH941" s="28"/>
      <c r="AL941" s="28"/>
    </row>
    <row r="942" x14ac:dyDescent="0.25">
      <c r="H942" s="18"/>
      <c r="I942" s="18"/>
      <c r="J942" s="18"/>
      <c r="R942" s="18"/>
      <c r="S942" s="18"/>
      <c r="AH942" s="28"/>
      <c r="AL942" s="28"/>
    </row>
    <row r="943" x14ac:dyDescent="0.25">
      <c r="H943" s="18"/>
      <c r="I943" s="18"/>
      <c r="J943" s="18"/>
      <c r="R943" s="18"/>
      <c r="S943" s="18"/>
      <c r="AH943" s="28"/>
      <c r="AL943" s="28"/>
    </row>
    <row r="944" x14ac:dyDescent="0.25">
      <c r="H944" s="18"/>
      <c r="I944" s="18"/>
      <c r="J944" s="18"/>
      <c r="R944" s="18"/>
      <c r="S944" s="18"/>
      <c r="AH944" s="28"/>
      <c r="AL944" s="28"/>
    </row>
    <row r="945" x14ac:dyDescent="0.25">
      <c r="H945" s="18"/>
      <c r="I945" s="18"/>
      <c r="J945" s="18"/>
      <c r="R945" s="18"/>
      <c r="S945" s="18"/>
      <c r="AH945" s="28"/>
      <c r="AL945" s="28"/>
    </row>
    <row r="946" x14ac:dyDescent="0.25">
      <c r="H946" s="18"/>
      <c r="I946" s="18"/>
      <c r="J946" s="18"/>
      <c r="R946" s="18"/>
      <c r="S946" s="18"/>
      <c r="AH946" s="28"/>
      <c r="AL946" s="28"/>
    </row>
    <row r="947" x14ac:dyDescent="0.25">
      <c r="H947" s="18"/>
      <c r="I947" s="18"/>
      <c r="J947" s="18"/>
      <c r="R947" s="18"/>
      <c r="S947" s="18"/>
      <c r="AH947" s="28"/>
      <c r="AL947" s="28"/>
    </row>
    <row r="948" x14ac:dyDescent="0.25">
      <c r="H948" s="18"/>
      <c r="I948" s="18"/>
      <c r="J948" s="18"/>
      <c r="R948" s="18"/>
      <c r="S948" s="18"/>
      <c r="AH948" s="28"/>
      <c r="AL948" s="28"/>
    </row>
    <row r="949" x14ac:dyDescent="0.25">
      <c r="H949" s="18"/>
      <c r="I949" s="18"/>
      <c r="J949" s="18"/>
      <c r="R949" s="18"/>
      <c r="S949" s="18"/>
      <c r="AH949" s="28"/>
      <c r="AL949" s="28"/>
    </row>
    <row r="950" x14ac:dyDescent="0.25">
      <c r="H950" s="18"/>
      <c r="I950" s="18"/>
      <c r="J950" s="18"/>
      <c r="R950" s="18"/>
      <c r="S950" s="18"/>
      <c r="AH950" s="28"/>
      <c r="AL950" s="28"/>
    </row>
    <row r="951" x14ac:dyDescent="0.25">
      <c r="H951" s="18"/>
      <c r="I951" s="18"/>
      <c r="J951" s="18"/>
      <c r="R951" s="18"/>
      <c r="S951" s="18"/>
      <c r="AH951" s="28"/>
      <c r="AL951" s="28"/>
    </row>
    <row r="952" x14ac:dyDescent="0.25">
      <c r="H952" s="18"/>
      <c r="I952" s="18"/>
      <c r="J952" s="18"/>
      <c r="R952" s="18"/>
      <c r="S952" s="18"/>
      <c r="AH952" s="28"/>
      <c r="AL952" s="28"/>
    </row>
    <row r="953" x14ac:dyDescent="0.25">
      <c r="H953" s="18"/>
      <c r="I953" s="18"/>
      <c r="J953" s="18"/>
      <c r="R953" s="18"/>
      <c r="S953" s="18"/>
      <c r="AH953" s="28"/>
      <c r="AL953" s="28"/>
    </row>
    <row r="954" x14ac:dyDescent="0.25">
      <c r="H954" s="18"/>
      <c r="I954" s="18"/>
      <c r="J954" s="18"/>
      <c r="R954" s="18"/>
      <c r="S954" s="18"/>
      <c r="AH954" s="28"/>
      <c r="AL954" s="28"/>
    </row>
    <row r="955" x14ac:dyDescent="0.25">
      <c r="H955" s="18"/>
      <c r="I955" s="18"/>
      <c r="J955" s="18"/>
      <c r="R955" s="18"/>
      <c r="S955" s="18"/>
      <c r="AH955" s="28"/>
      <c r="AL955" s="28"/>
    </row>
    <row r="956" x14ac:dyDescent="0.25">
      <c r="H956" s="18"/>
      <c r="I956" s="18"/>
      <c r="J956" s="18"/>
      <c r="R956" s="18"/>
      <c r="S956" s="18"/>
      <c r="AH956" s="28"/>
      <c r="AL956" s="28"/>
    </row>
    <row r="957" x14ac:dyDescent="0.25">
      <c r="H957" s="18"/>
      <c r="I957" s="18"/>
      <c r="J957" s="18"/>
      <c r="R957" s="18"/>
      <c r="S957" s="18"/>
      <c r="AH957" s="28"/>
      <c r="AL957" s="28"/>
    </row>
    <row r="958" x14ac:dyDescent="0.25">
      <c r="H958" s="18"/>
      <c r="I958" s="18"/>
      <c r="J958" s="18"/>
      <c r="R958" s="18"/>
      <c r="S958" s="18"/>
      <c r="AH958" s="28"/>
      <c r="AL958" s="28"/>
    </row>
    <row r="959" x14ac:dyDescent="0.25">
      <c r="H959" s="18"/>
      <c r="I959" s="18"/>
      <c r="J959" s="18"/>
      <c r="R959" s="18"/>
      <c r="S959" s="18"/>
      <c r="AH959" s="28"/>
      <c r="AL959" s="28"/>
    </row>
    <row r="960" x14ac:dyDescent="0.25">
      <c r="H960" s="18"/>
      <c r="I960" s="18"/>
      <c r="J960" s="18"/>
      <c r="R960" s="18"/>
      <c r="S960" s="18"/>
      <c r="AH960" s="28"/>
      <c r="AL960" s="28"/>
    </row>
    <row r="961" x14ac:dyDescent="0.25">
      <c r="H961" s="18"/>
      <c r="I961" s="18"/>
      <c r="J961" s="18"/>
      <c r="R961" s="18"/>
      <c r="S961" s="18"/>
      <c r="AH961" s="28"/>
      <c r="AL961" s="28"/>
    </row>
    <row r="962" x14ac:dyDescent="0.25">
      <c r="H962" s="18"/>
      <c r="I962" s="18"/>
      <c r="J962" s="18"/>
      <c r="R962" s="18"/>
      <c r="S962" s="18"/>
      <c r="AH962" s="28"/>
      <c r="AL962" s="28"/>
    </row>
    <row r="963" x14ac:dyDescent="0.25">
      <c r="H963" s="18"/>
      <c r="I963" s="18"/>
      <c r="J963" s="18"/>
      <c r="R963" s="18"/>
      <c r="S963" s="18"/>
      <c r="AH963" s="28"/>
      <c r="AL963" s="28"/>
    </row>
    <row r="964" x14ac:dyDescent="0.25">
      <c r="H964" s="18"/>
      <c r="I964" s="18"/>
      <c r="J964" s="18"/>
      <c r="R964" s="18"/>
      <c r="S964" s="18"/>
      <c r="AH964" s="28"/>
      <c r="AL964" s="28"/>
    </row>
    <row r="965" x14ac:dyDescent="0.25">
      <c r="H965" s="18"/>
      <c r="I965" s="18"/>
      <c r="J965" s="18"/>
      <c r="R965" s="18"/>
      <c r="S965" s="18"/>
      <c r="AH965" s="28"/>
      <c r="AL965" s="28"/>
    </row>
    <row r="966" x14ac:dyDescent="0.25">
      <c r="H966" s="18"/>
      <c r="I966" s="18"/>
      <c r="J966" s="18"/>
      <c r="R966" s="18"/>
      <c r="S966" s="18"/>
      <c r="AH966" s="28"/>
      <c r="AL966" s="28"/>
    </row>
    <row r="967" x14ac:dyDescent="0.25">
      <c r="H967" s="18"/>
      <c r="I967" s="18"/>
      <c r="J967" s="18"/>
      <c r="R967" s="18"/>
      <c r="S967" s="18"/>
      <c r="AH967" s="28"/>
      <c r="AL967" s="28"/>
    </row>
    <row r="968" x14ac:dyDescent="0.25">
      <c r="H968" s="18"/>
      <c r="I968" s="18"/>
      <c r="J968" s="18"/>
      <c r="R968" s="18"/>
      <c r="S968" s="18"/>
      <c r="AH968" s="28"/>
      <c r="AL968" s="28"/>
    </row>
    <row r="969" x14ac:dyDescent="0.25">
      <c r="H969" s="18"/>
      <c r="I969" s="18"/>
      <c r="J969" s="18"/>
      <c r="R969" s="18"/>
      <c r="S969" s="18"/>
      <c r="AH969" s="28"/>
      <c r="AL969" s="28"/>
    </row>
    <row r="970" x14ac:dyDescent="0.25">
      <c r="H970" s="18"/>
      <c r="I970" s="18"/>
      <c r="J970" s="18"/>
      <c r="R970" s="18"/>
      <c r="S970" s="18"/>
      <c r="AH970" s="28"/>
      <c r="AL970" s="28"/>
    </row>
    <row r="971" x14ac:dyDescent="0.25">
      <c r="H971" s="18"/>
      <c r="I971" s="18"/>
      <c r="J971" s="18"/>
      <c r="R971" s="18"/>
      <c r="S971" s="18"/>
      <c r="AH971" s="28"/>
      <c r="AL971" s="28"/>
    </row>
    <row r="972" x14ac:dyDescent="0.25">
      <c r="H972" s="18"/>
      <c r="I972" s="18"/>
      <c r="J972" s="18"/>
      <c r="R972" s="18"/>
      <c r="S972" s="18"/>
      <c r="AH972" s="28"/>
      <c r="AL972" s="28"/>
    </row>
    <row r="973" x14ac:dyDescent="0.25">
      <c r="H973" s="18"/>
      <c r="I973" s="18"/>
      <c r="J973" s="18"/>
      <c r="R973" s="18"/>
      <c r="S973" s="18"/>
      <c r="AH973" s="28"/>
      <c r="AL973" s="28"/>
    </row>
    <row r="974" x14ac:dyDescent="0.25">
      <c r="H974" s="18"/>
      <c r="I974" s="18"/>
      <c r="J974" s="18"/>
      <c r="R974" s="18"/>
      <c r="S974" s="18"/>
      <c r="AH974" s="28"/>
      <c r="AL974" s="28"/>
    </row>
    <row r="975" x14ac:dyDescent="0.25">
      <c r="H975" s="18"/>
      <c r="I975" s="18"/>
      <c r="J975" s="18"/>
      <c r="R975" s="18"/>
      <c r="S975" s="18"/>
      <c r="AH975" s="28"/>
      <c r="AL975" s="28"/>
    </row>
    <row r="976" x14ac:dyDescent="0.25">
      <c r="H976" s="18"/>
      <c r="I976" s="18"/>
      <c r="J976" s="18"/>
      <c r="R976" s="18"/>
      <c r="S976" s="18"/>
      <c r="AH976" s="28"/>
      <c r="AL976" s="28"/>
    </row>
    <row r="977" x14ac:dyDescent="0.25">
      <c r="H977" s="18"/>
      <c r="I977" s="18"/>
      <c r="J977" s="18"/>
      <c r="R977" s="18"/>
      <c r="S977" s="18"/>
      <c r="AH977" s="28"/>
      <c r="AL977" s="28"/>
    </row>
    <row r="978" x14ac:dyDescent="0.25">
      <c r="H978" s="18"/>
      <c r="I978" s="18"/>
      <c r="J978" s="18"/>
      <c r="R978" s="18"/>
      <c r="S978" s="18"/>
      <c r="AH978" s="28"/>
      <c r="AL978" s="28"/>
    </row>
    <row r="979" x14ac:dyDescent="0.25">
      <c r="H979" s="18"/>
      <c r="I979" s="18"/>
      <c r="J979" s="18"/>
      <c r="R979" s="18"/>
      <c r="S979" s="18"/>
      <c r="AH979" s="28"/>
      <c r="AL979" s="28"/>
    </row>
    <row r="980" x14ac:dyDescent="0.25">
      <c r="H980" s="18"/>
      <c r="I980" s="18"/>
      <c r="J980" s="18"/>
      <c r="R980" s="18"/>
      <c r="S980" s="18"/>
      <c r="AH980" s="28"/>
      <c r="AL980" s="28"/>
    </row>
    <row r="981" x14ac:dyDescent="0.25">
      <c r="H981" s="18"/>
      <c r="I981" s="18"/>
      <c r="J981" s="18"/>
      <c r="R981" s="18"/>
      <c r="S981" s="18"/>
      <c r="AH981" s="28"/>
      <c r="AL981" s="28"/>
    </row>
    <row r="982" x14ac:dyDescent="0.25">
      <c r="H982" s="18"/>
      <c r="I982" s="18"/>
      <c r="J982" s="18"/>
      <c r="R982" s="18"/>
      <c r="S982" s="18"/>
      <c r="AH982" s="28"/>
      <c r="AL982" s="28"/>
    </row>
    <row r="983" x14ac:dyDescent="0.25">
      <c r="H983" s="18"/>
      <c r="I983" s="18"/>
      <c r="J983" s="18"/>
      <c r="R983" s="18"/>
      <c r="S983" s="18"/>
      <c r="AH983" s="28"/>
      <c r="AL983" s="28"/>
    </row>
    <row r="984" x14ac:dyDescent="0.25">
      <c r="H984" s="18"/>
      <c r="I984" s="18"/>
      <c r="J984" s="18"/>
      <c r="R984" s="18"/>
      <c r="S984" s="18"/>
      <c r="AH984" s="28"/>
      <c r="AL984" s="28"/>
    </row>
    <row r="985" x14ac:dyDescent="0.25">
      <c r="H985" s="18"/>
      <c r="I985" s="18"/>
      <c r="J985" s="18"/>
      <c r="R985" s="18"/>
      <c r="S985" s="18"/>
      <c r="AH985" s="28"/>
      <c r="AL985" s="28"/>
    </row>
    <row r="986" x14ac:dyDescent="0.25">
      <c r="H986" s="18"/>
      <c r="I986" s="18"/>
      <c r="J986" s="18"/>
      <c r="R986" s="18"/>
      <c r="S986" s="18"/>
      <c r="AH986" s="28"/>
      <c r="AL986" s="28"/>
    </row>
    <row r="987" x14ac:dyDescent="0.25">
      <c r="H987" s="18"/>
      <c r="I987" s="18"/>
      <c r="J987" s="18"/>
      <c r="R987" s="18"/>
      <c r="S987" s="18"/>
      <c r="AH987" s="28"/>
      <c r="AL987" s="28"/>
    </row>
    <row r="988" x14ac:dyDescent="0.25">
      <c r="H988" s="18"/>
      <c r="I988" s="18"/>
      <c r="J988" s="18"/>
      <c r="R988" s="18"/>
      <c r="S988" s="18"/>
      <c r="AH988" s="28"/>
      <c r="AL988" s="28"/>
    </row>
    <row r="989" x14ac:dyDescent="0.25">
      <c r="H989" s="18"/>
      <c r="I989" s="18"/>
      <c r="J989" s="18"/>
      <c r="R989" s="18"/>
      <c r="S989" s="18"/>
      <c r="AH989" s="28"/>
      <c r="AL989" s="28"/>
    </row>
    <row r="990" x14ac:dyDescent="0.25">
      <c r="H990" s="18"/>
      <c r="I990" s="18"/>
      <c r="J990" s="18"/>
      <c r="R990" s="18"/>
      <c r="S990" s="18"/>
      <c r="AH990" s="28"/>
      <c r="AL990" s="28"/>
    </row>
    <row r="991" x14ac:dyDescent="0.25">
      <c r="H991" s="18"/>
      <c r="I991" s="18"/>
      <c r="J991" s="18"/>
      <c r="R991" s="18"/>
      <c r="S991" s="18"/>
      <c r="AH991" s="28"/>
      <c r="AL991" s="28"/>
    </row>
    <row r="992" x14ac:dyDescent="0.25">
      <c r="H992" s="18"/>
      <c r="I992" s="18"/>
      <c r="J992" s="18"/>
      <c r="R992" s="18"/>
      <c r="S992" s="18"/>
      <c r="AH992" s="28"/>
      <c r="AL992" s="28"/>
    </row>
    <row r="993" x14ac:dyDescent="0.25">
      <c r="H993" s="18"/>
      <c r="I993" s="18"/>
      <c r="J993" s="18"/>
      <c r="R993" s="18"/>
      <c r="S993" s="18"/>
      <c r="AH993" s="28"/>
      <c r="AL993" s="28"/>
    </row>
    <row r="994" x14ac:dyDescent="0.25">
      <c r="H994" s="18"/>
      <c r="I994" s="18"/>
      <c r="J994" s="18"/>
      <c r="R994" s="18"/>
      <c r="S994" s="18"/>
      <c r="AH994" s="28"/>
      <c r="AL994" s="28"/>
    </row>
    <row r="995" x14ac:dyDescent="0.25">
      <c r="H995" s="18"/>
      <c r="I995" s="18"/>
      <c r="J995" s="18"/>
      <c r="R995" s="18"/>
      <c r="S995" s="18"/>
      <c r="AH995" s="28"/>
      <c r="AL995" s="28"/>
    </row>
    <row r="996" x14ac:dyDescent="0.25">
      <c r="H996" s="18"/>
      <c r="I996" s="18"/>
      <c r="J996" s="18"/>
      <c r="R996" s="18"/>
      <c r="S996" s="18"/>
      <c r="AH996" s="28"/>
      <c r="AL996" s="28"/>
    </row>
    <row r="997" x14ac:dyDescent="0.25">
      <c r="H997" s="18"/>
      <c r="I997" s="18"/>
      <c r="J997" s="18"/>
      <c r="R997" s="18"/>
      <c r="S997" s="18"/>
      <c r="AH997" s="28"/>
      <c r="AL997" s="28"/>
    </row>
    <row r="998" x14ac:dyDescent="0.25">
      <c r="H998" s="18"/>
      <c r="I998" s="18"/>
      <c r="J998" s="18"/>
      <c r="R998" s="18"/>
      <c r="S998" s="18"/>
      <c r="AH998" s="28"/>
      <c r="AL998" s="28"/>
    </row>
    <row r="999" x14ac:dyDescent="0.25">
      <c r="H999" s="18"/>
      <c r="I999" s="18"/>
      <c r="J999" s="18"/>
      <c r="R999" s="18"/>
      <c r="S999" s="18"/>
      <c r="AH999" s="28"/>
      <c r="AL999" s="28"/>
    </row>
    <row r="1000" x14ac:dyDescent="0.25">
      <c r="H1000" s="18"/>
      <c r="I1000" s="18"/>
      <c r="J1000" s="18"/>
      <c r="R1000" s="18"/>
      <c r="S1000" s="18"/>
      <c r="AH1000" s="28"/>
      <c r="AL1000" s="28"/>
    </row>
    <row r="1001" x14ac:dyDescent="0.25">
      <c r="H1001" s="18"/>
      <c r="I1001" s="18"/>
      <c r="J1001" s="18"/>
      <c r="R1001" s="18"/>
      <c r="S1001" s="18"/>
      <c r="AH1001" s="28"/>
      <c r="AL1001" s="28"/>
    </row>
    <row r="1002" x14ac:dyDescent="0.25">
      <c r="H1002" s="18"/>
      <c r="I1002" s="18"/>
      <c r="J1002" s="18"/>
      <c r="R1002" s="18"/>
      <c r="S1002" s="18"/>
      <c r="AH1002" s="28"/>
      <c r="AL1002" s="28"/>
    </row>
    <row r="1003" x14ac:dyDescent="0.25">
      <c r="H1003" s="18"/>
      <c r="I1003" s="18"/>
      <c r="J1003" s="18"/>
      <c r="R1003" s="18"/>
      <c r="S1003" s="18"/>
      <c r="AH1003" s="28"/>
      <c r="AL1003" s="28"/>
    </row>
    <row r="1004" x14ac:dyDescent="0.25">
      <c r="H1004" s="18"/>
      <c r="I1004" s="18"/>
      <c r="J1004" s="18"/>
      <c r="R1004" s="18"/>
      <c r="S1004" s="18"/>
      <c r="AH1004" s="28"/>
      <c r="AL1004" s="28"/>
    </row>
    <row r="1005" x14ac:dyDescent="0.25">
      <c r="H1005" s="18"/>
      <c r="I1005" s="18"/>
      <c r="J1005" s="18"/>
      <c r="R1005" s="18"/>
      <c r="S1005" s="18"/>
      <c r="AH1005" s="28"/>
      <c r="AL1005" s="28"/>
    </row>
    <row r="1006" x14ac:dyDescent="0.25">
      <c r="H1006" s="18"/>
      <c r="I1006" s="18"/>
      <c r="J1006" s="18"/>
      <c r="R1006" s="18"/>
      <c r="S1006" s="18"/>
      <c r="AH1006" s="28"/>
      <c r="AL1006" s="28"/>
    </row>
    <row r="1007" x14ac:dyDescent="0.25">
      <c r="H1007" s="18"/>
      <c r="I1007" s="18"/>
      <c r="J1007" s="18"/>
      <c r="R1007" s="18"/>
      <c r="S1007" s="18"/>
      <c r="AH1007" s="28"/>
      <c r="AL1007" s="28"/>
    </row>
    <row r="1008" x14ac:dyDescent="0.25">
      <c r="H1008" s="18"/>
      <c r="I1008" s="18"/>
      <c r="J1008" s="18"/>
      <c r="R1008" s="18"/>
      <c r="S1008" s="18"/>
      <c r="AH1008" s="28"/>
      <c r="AL1008" s="28"/>
    </row>
    <row r="1009" x14ac:dyDescent="0.25">
      <c r="H1009" s="18"/>
      <c r="I1009" s="18"/>
      <c r="J1009" s="18"/>
      <c r="R1009" s="18"/>
      <c r="S1009" s="18"/>
      <c r="AH1009" s="28"/>
      <c r="AL1009" s="28"/>
    </row>
    <row r="1010" x14ac:dyDescent="0.25">
      <c r="H1010" s="18"/>
      <c r="I1010" s="18"/>
      <c r="J1010" s="18"/>
      <c r="R1010" s="18"/>
      <c r="S1010" s="18"/>
      <c r="AH1010" s="28"/>
      <c r="AL1010" s="28"/>
    </row>
    <row r="1011" x14ac:dyDescent="0.25">
      <c r="H1011" s="18"/>
      <c r="I1011" s="18"/>
      <c r="J1011" s="18"/>
      <c r="R1011" s="18"/>
      <c r="S1011" s="18"/>
      <c r="AH1011" s="28"/>
      <c r="AL1011" s="28"/>
    </row>
    <row r="1012" x14ac:dyDescent="0.25">
      <c r="H1012" s="18"/>
      <c r="I1012" s="18"/>
      <c r="J1012" s="18"/>
      <c r="R1012" s="18"/>
      <c r="S1012" s="18"/>
      <c r="AH1012" s="28"/>
      <c r="AL1012" s="28"/>
    </row>
    <row r="1013" x14ac:dyDescent="0.25">
      <c r="H1013" s="18"/>
      <c r="I1013" s="18"/>
      <c r="J1013" s="18"/>
      <c r="R1013" s="18"/>
      <c r="S1013" s="18"/>
      <c r="AH1013" s="28"/>
      <c r="AL1013" s="28"/>
    </row>
    <row r="1014" x14ac:dyDescent="0.25">
      <c r="H1014" s="18"/>
      <c r="I1014" s="18"/>
      <c r="J1014" s="18"/>
      <c r="R1014" s="18"/>
      <c r="S1014" s="18"/>
      <c r="AH1014" s="28"/>
      <c r="AL1014" s="28"/>
    </row>
    <row r="1015" x14ac:dyDescent="0.25">
      <c r="H1015" s="18"/>
      <c r="I1015" s="18"/>
      <c r="J1015" s="18"/>
      <c r="R1015" s="18"/>
      <c r="S1015" s="18"/>
      <c r="AH1015" s="28"/>
      <c r="AL1015" s="28"/>
    </row>
    <row r="1016" x14ac:dyDescent="0.25">
      <c r="H1016" s="18"/>
      <c r="I1016" s="18"/>
      <c r="J1016" s="18"/>
      <c r="R1016" s="18"/>
      <c r="S1016" s="18"/>
      <c r="AH1016" s="28"/>
      <c r="AL1016" s="28"/>
    </row>
    <row r="1017" x14ac:dyDescent="0.25">
      <c r="H1017" s="18"/>
      <c r="I1017" s="18"/>
      <c r="J1017" s="18"/>
      <c r="R1017" s="18"/>
      <c r="S1017" s="18"/>
      <c r="AH1017" s="28"/>
      <c r="AL1017" s="28"/>
    </row>
    <row r="1018" x14ac:dyDescent="0.25">
      <c r="H1018" s="18"/>
      <c r="I1018" s="18"/>
      <c r="J1018" s="18"/>
      <c r="R1018" s="18"/>
      <c r="S1018" s="18"/>
      <c r="AH1018" s="28"/>
      <c r="AL1018" s="28"/>
    </row>
    <row r="1019" x14ac:dyDescent="0.25">
      <c r="H1019" s="18"/>
      <c r="I1019" s="18"/>
      <c r="J1019" s="18"/>
      <c r="R1019" s="18"/>
      <c r="S1019" s="18"/>
      <c r="AH1019" s="28"/>
      <c r="AL1019" s="28"/>
    </row>
    <row r="1020" x14ac:dyDescent="0.25">
      <c r="H1020" s="18"/>
      <c r="I1020" s="18"/>
      <c r="J1020" s="18"/>
      <c r="R1020" s="18"/>
      <c r="S1020" s="18"/>
      <c r="AH1020" s="28"/>
      <c r="AL1020" s="28"/>
    </row>
    <row r="1021" x14ac:dyDescent="0.25">
      <c r="H1021" s="18"/>
      <c r="I1021" s="18"/>
      <c r="J1021" s="18"/>
      <c r="R1021" s="18"/>
      <c r="S1021" s="18"/>
      <c r="AH1021" s="28"/>
      <c r="AL1021" s="28"/>
    </row>
    <row r="1022" x14ac:dyDescent="0.25">
      <c r="H1022" s="18"/>
      <c r="I1022" s="18"/>
      <c r="J1022" s="18"/>
      <c r="R1022" s="18"/>
      <c r="S1022" s="18"/>
      <c r="AH1022" s="28"/>
      <c r="AL1022" s="28"/>
    </row>
    <row r="1023" x14ac:dyDescent="0.25">
      <c r="H1023" s="18"/>
      <c r="I1023" s="18"/>
      <c r="J1023" s="18"/>
      <c r="R1023" s="18"/>
      <c r="S1023" s="18"/>
      <c r="AH1023" s="28"/>
      <c r="AL1023" s="28"/>
    </row>
    <row r="1024" x14ac:dyDescent="0.25">
      <c r="H1024" s="18"/>
      <c r="I1024" s="18"/>
      <c r="J1024" s="18"/>
      <c r="R1024" s="18"/>
      <c r="S1024" s="18"/>
      <c r="AH1024" s="28"/>
      <c r="AL1024" s="28"/>
    </row>
    <row r="1025" x14ac:dyDescent="0.25">
      <c r="H1025" s="18"/>
      <c r="I1025" s="18"/>
      <c r="J1025" s="18"/>
      <c r="R1025" s="18"/>
      <c r="S1025" s="18"/>
      <c r="AH1025" s="28"/>
      <c r="AL1025" s="28"/>
    </row>
    <row r="1026" x14ac:dyDescent="0.25">
      <c r="H1026" s="18"/>
      <c r="I1026" s="18"/>
      <c r="J1026" s="18"/>
      <c r="R1026" s="18"/>
      <c r="S1026" s="18"/>
      <c r="AH1026" s="28"/>
      <c r="AL1026" s="28"/>
    </row>
    <row r="1027" x14ac:dyDescent="0.25">
      <c r="H1027" s="18"/>
      <c r="I1027" s="18"/>
      <c r="J1027" s="18"/>
      <c r="R1027" s="18"/>
      <c r="S1027" s="18"/>
      <c r="AH1027" s="28"/>
      <c r="AL1027" s="28"/>
    </row>
    <row r="1028" x14ac:dyDescent="0.25">
      <c r="H1028" s="18"/>
      <c r="I1028" s="18"/>
      <c r="J1028" s="18"/>
      <c r="R1028" s="18"/>
      <c r="S1028" s="18"/>
      <c r="AH1028" s="28"/>
      <c r="AL1028" s="28"/>
    </row>
    <row r="1029" x14ac:dyDescent="0.25">
      <c r="H1029" s="18"/>
      <c r="I1029" s="18"/>
      <c r="J1029" s="18"/>
      <c r="R1029" s="18"/>
      <c r="S1029" s="18"/>
      <c r="AH1029" s="28"/>
      <c r="AL1029" s="28"/>
    </row>
    <row r="1030" x14ac:dyDescent="0.25">
      <c r="H1030" s="18"/>
      <c r="I1030" s="18"/>
      <c r="J1030" s="18"/>
      <c r="R1030" s="18"/>
      <c r="S1030" s="18"/>
      <c r="AH1030" s="28"/>
      <c r="AL1030" s="28"/>
    </row>
    <row r="1031" x14ac:dyDescent="0.25">
      <c r="H1031" s="18"/>
      <c r="I1031" s="18"/>
      <c r="J1031" s="18"/>
      <c r="R1031" s="18"/>
      <c r="S1031" s="18"/>
      <c r="AH1031" s="28"/>
      <c r="AL1031" s="28"/>
    </row>
    <row r="1032" x14ac:dyDescent="0.25">
      <c r="H1032" s="18"/>
      <c r="I1032" s="18"/>
      <c r="J1032" s="18"/>
      <c r="R1032" s="18"/>
      <c r="S1032" s="18"/>
      <c r="AH1032" s="28"/>
      <c r="AL1032" s="28"/>
    </row>
    <row r="1033" x14ac:dyDescent="0.25">
      <c r="H1033" s="18"/>
      <c r="I1033" s="18"/>
      <c r="J1033" s="18"/>
      <c r="R1033" s="18"/>
      <c r="S1033" s="18"/>
      <c r="AH1033" s="28"/>
      <c r="AL1033" s="28"/>
    </row>
    <row r="1034" x14ac:dyDescent="0.25">
      <c r="H1034" s="18"/>
      <c r="I1034" s="18"/>
      <c r="J1034" s="18"/>
      <c r="R1034" s="18"/>
      <c r="S1034" s="18"/>
      <c r="AH1034" s="28"/>
      <c r="AL1034" s="28"/>
    </row>
    <row r="1035" x14ac:dyDescent="0.25">
      <c r="H1035" s="18"/>
      <c r="I1035" s="18"/>
      <c r="J1035" s="18"/>
      <c r="R1035" s="18"/>
      <c r="S1035" s="18"/>
      <c r="AH1035" s="28"/>
      <c r="AL1035" s="28"/>
    </row>
    <row r="1036" x14ac:dyDescent="0.25">
      <c r="H1036" s="18"/>
      <c r="I1036" s="18"/>
      <c r="J1036" s="18"/>
      <c r="R1036" s="18"/>
      <c r="S1036" s="18"/>
      <c r="AH1036" s="28"/>
      <c r="AL1036" s="28"/>
    </row>
    <row r="1037" x14ac:dyDescent="0.25">
      <c r="H1037" s="18"/>
      <c r="I1037" s="18"/>
      <c r="J1037" s="18"/>
      <c r="R1037" s="18"/>
      <c r="S1037" s="18"/>
      <c r="AH1037" s="28"/>
      <c r="AL1037" s="28"/>
    </row>
    <row r="1038" x14ac:dyDescent="0.25">
      <c r="H1038" s="18"/>
      <c r="I1038" s="18"/>
      <c r="J1038" s="18"/>
      <c r="R1038" s="18"/>
      <c r="S1038" s="18"/>
      <c r="AH1038" s="28"/>
      <c r="AL1038" s="28"/>
    </row>
    <row r="1039" x14ac:dyDescent="0.25">
      <c r="H1039" s="18"/>
      <c r="I1039" s="18"/>
      <c r="J1039" s="18"/>
      <c r="R1039" s="18"/>
      <c r="S1039" s="18"/>
      <c r="AH1039" s="28"/>
      <c r="AL1039" s="28"/>
    </row>
    <row r="1040" x14ac:dyDescent="0.25">
      <c r="H1040" s="18"/>
      <c r="I1040" s="18"/>
      <c r="J1040" s="18"/>
      <c r="R1040" s="18"/>
      <c r="S1040" s="18"/>
    </row>
    <row r="1041" x14ac:dyDescent="0.25">
      <c r="H1041" s="18"/>
      <c r="I1041" s="18"/>
      <c r="J1041" s="18"/>
      <c r="R1041" s="18"/>
      <c r="S1041" s="18"/>
    </row>
    <row r="1042" x14ac:dyDescent="0.25">
      <c r="H1042" s="18"/>
      <c r="I1042" s="18"/>
      <c r="J1042" s="18"/>
      <c r="R1042" s="18"/>
      <c r="S1042" s="18"/>
    </row>
    <row r="1043" x14ac:dyDescent="0.25">
      <c r="H1043" s="18"/>
      <c r="I1043" s="18"/>
      <c r="J1043" s="18"/>
      <c r="R1043" s="18"/>
      <c r="S1043" s="18"/>
    </row>
    <row r="1044" x14ac:dyDescent="0.25">
      <c r="H1044" s="18"/>
      <c r="I1044" s="18"/>
      <c r="J1044" s="18"/>
      <c r="R1044" s="18"/>
      <c r="S1044" s="18"/>
    </row>
    <row r="1045" x14ac:dyDescent="0.25">
      <c r="H1045" s="18"/>
      <c r="I1045" s="18"/>
      <c r="J1045" s="18"/>
      <c r="R1045" s="18"/>
      <c r="S1045" s="18"/>
    </row>
    <row r="1046" x14ac:dyDescent="0.25">
      <c r="H1046" s="18"/>
      <c r="I1046" s="18"/>
      <c r="J1046" s="18"/>
      <c r="R1046" s="18"/>
      <c r="S1046" s="18"/>
    </row>
    <row r="1047" x14ac:dyDescent="0.25">
      <c r="H1047" s="18"/>
      <c r="I1047" s="18"/>
      <c r="J1047" s="18"/>
      <c r="R1047" s="18"/>
      <c r="S1047" s="18"/>
    </row>
    <row r="1048" x14ac:dyDescent="0.25">
      <c r="H1048" s="18"/>
      <c r="I1048" s="18"/>
      <c r="J1048" s="18"/>
      <c r="R1048" s="18"/>
      <c r="S1048" s="18"/>
    </row>
    <row r="1049" x14ac:dyDescent="0.25">
      <c r="H1049" s="18"/>
      <c r="I1049" s="18"/>
      <c r="J1049" s="18"/>
      <c r="R1049" s="18"/>
      <c r="S1049" s="18"/>
    </row>
    <row r="1050" x14ac:dyDescent="0.25">
      <c r="H1050" s="18"/>
      <c r="I1050" s="18"/>
      <c r="J1050" s="18"/>
      <c r="R1050" s="18"/>
      <c r="S1050" s="18"/>
    </row>
    <row r="1051" x14ac:dyDescent="0.25">
      <c r="H1051" s="18"/>
      <c r="I1051" s="18"/>
      <c r="J1051" s="18"/>
      <c r="R1051" s="18"/>
      <c r="S1051" s="18"/>
    </row>
    <row r="1052" x14ac:dyDescent="0.25">
      <c r="H1052" s="18"/>
      <c r="I1052" s="18"/>
      <c r="J1052" s="18"/>
      <c r="R1052" s="18"/>
      <c r="S1052" s="18"/>
    </row>
    <row r="1053" x14ac:dyDescent="0.25">
      <c r="H1053" s="18"/>
      <c r="I1053" s="18"/>
      <c r="J1053" s="18"/>
      <c r="R1053" s="18"/>
      <c r="S1053" s="18"/>
    </row>
    <row r="1054" x14ac:dyDescent="0.25">
      <c r="H1054" s="18"/>
      <c r="I1054" s="18"/>
      <c r="J1054" s="18"/>
      <c r="R1054" s="18"/>
      <c r="S1054" s="18"/>
    </row>
    <row r="1055" x14ac:dyDescent="0.25">
      <c r="H1055" s="18"/>
      <c r="I1055" s="18"/>
      <c r="J1055" s="18"/>
      <c r="R1055" s="18"/>
      <c r="S1055" s="18"/>
    </row>
    <row r="1056" x14ac:dyDescent="0.25">
      <c r="H1056" s="18"/>
      <c r="I1056" s="18"/>
      <c r="J1056" s="18"/>
      <c r="R1056" s="18"/>
      <c r="S1056" s="18"/>
    </row>
    <row r="1057" x14ac:dyDescent="0.25">
      <c r="H1057" s="18"/>
      <c r="I1057" s="18"/>
      <c r="J1057" s="18"/>
      <c r="N1057" s="17">
        <f>'Invoer APP data'!AN1057</f>
        <v>0</v>
      </c>
      <c r="R1057" s="18"/>
      <c r="S1057" s="18"/>
      <c r="AE1057" s="17">
        <f>'Invoer APP data'!K1057</f>
        <v>0</v>
      </c>
    </row>
    <row r="1058" x14ac:dyDescent="0.25">
      <c r="H1058" s="18"/>
      <c r="I1058" s="18"/>
      <c r="J1058" s="18"/>
      <c r="N1058" s="17">
        <f>'Invoer APP data'!AN1058</f>
        <v>0</v>
      </c>
      <c r="R1058" s="18"/>
      <c r="S1058" s="18"/>
      <c r="AE1058" s="17">
        <f>'Invoer APP data'!K1058</f>
        <v>0</v>
      </c>
    </row>
    <row r="1059" x14ac:dyDescent="0.25">
      <c r="H1059" s="18"/>
      <c r="I1059" s="18"/>
      <c r="J1059" s="18"/>
      <c r="N1059" s="17">
        <f>'Invoer APP data'!AN1059</f>
        <v>0</v>
      </c>
      <c r="R1059" s="18"/>
      <c r="S1059" s="18"/>
      <c r="AE1059" s="17">
        <f>'Invoer APP data'!K1059</f>
        <v>0</v>
      </c>
    </row>
    <row r="1060" x14ac:dyDescent="0.25">
      <c r="H1060" s="18"/>
      <c r="I1060" s="18"/>
      <c r="J1060" s="18"/>
      <c r="N1060" s="17">
        <f>'Invoer APP data'!AN1060</f>
        <v>0</v>
      </c>
      <c r="R1060" s="18"/>
      <c r="S1060" s="18"/>
      <c r="AE1060" s="17">
        <f>'Invoer APP data'!K1060</f>
        <v>0</v>
      </c>
    </row>
    <row r="1061" x14ac:dyDescent="0.25">
      <c r="H1061" s="18"/>
      <c r="I1061" s="18"/>
      <c r="J1061" s="18"/>
      <c r="N1061" s="17">
        <f>'Invoer APP data'!AN1061</f>
        <v>0</v>
      </c>
      <c r="R1061" s="18"/>
      <c r="S1061" s="18"/>
      <c r="AE1061" s="17">
        <f>'Invoer APP data'!K1061</f>
        <v>0</v>
      </c>
    </row>
    <row r="1062" x14ac:dyDescent="0.25">
      <c r="H1062" s="18"/>
      <c r="I1062" s="18"/>
      <c r="J1062" s="18"/>
      <c r="N1062" s="17">
        <f>'Invoer APP data'!AN1062</f>
        <v>0</v>
      </c>
      <c r="R1062" s="18"/>
      <c r="S1062" s="18"/>
      <c r="AE1062" s="17">
        <f>'Invoer APP data'!K1062</f>
        <v>0</v>
      </c>
    </row>
    <row r="1063" x14ac:dyDescent="0.25">
      <c r="H1063" s="18"/>
      <c r="I1063" s="18"/>
      <c r="J1063" s="18"/>
      <c r="N1063" s="17">
        <f>'Invoer APP data'!AN1063</f>
        <v>0</v>
      </c>
      <c r="R1063" s="18"/>
      <c r="S1063" s="18"/>
      <c r="AE1063" s="17">
        <f>'Invoer APP data'!K1063</f>
        <v>0</v>
      </c>
    </row>
    <row r="1064" x14ac:dyDescent="0.25">
      <c r="H1064" s="18"/>
      <c r="I1064" s="18"/>
      <c r="J1064" s="18"/>
      <c r="N1064" s="17">
        <f>'Invoer APP data'!AN1064</f>
        <v>0</v>
      </c>
      <c r="R1064" s="18"/>
      <c r="S1064" s="18"/>
      <c r="AE1064" s="17">
        <f>'Invoer APP data'!K1064</f>
        <v>0</v>
      </c>
    </row>
    <row r="1065" x14ac:dyDescent="0.25">
      <c r="H1065" s="18"/>
      <c r="I1065" s="18"/>
      <c r="J1065" s="18"/>
      <c r="N1065" s="17">
        <f>'Invoer APP data'!AN1065</f>
        <v>0</v>
      </c>
      <c r="R1065" s="18"/>
      <c r="S1065" s="18"/>
      <c r="AE1065" s="17">
        <f>'Invoer APP data'!K1065</f>
        <v>0</v>
      </c>
    </row>
    <row r="1066" x14ac:dyDescent="0.25">
      <c r="H1066" s="18"/>
      <c r="I1066" s="18"/>
      <c r="J1066" s="18"/>
      <c r="N1066" s="17">
        <f>'Invoer APP data'!AN1066</f>
        <v>0</v>
      </c>
      <c r="R1066" s="18"/>
      <c r="S1066" s="18"/>
      <c r="AE1066" s="17">
        <f>'Invoer APP data'!K1066</f>
        <v>0</v>
      </c>
    </row>
    <row r="1067" x14ac:dyDescent="0.25">
      <c r="H1067" s="18"/>
      <c r="I1067" s="18"/>
      <c r="J1067" s="18"/>
      <c r="R1067" s="18"/>
      <c r="S1067" s="18"/>
    </row>
    <row r="1068" x14ac:dyDescent="0.25">
      <c r="R1068" s="18"/>
      <c r="S1068" s="1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4C0-EEB6-43A1-977A-04CBD0DD848C}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 xr:uid="{CA4764C0-EEB6-43A1-977A-04CBD0DD848C}"/>
  <phoneticPr fontId="3" type="noConversion"/>
  <hyperlinks>
    <hyperlink ref="J2" r:id="rId1" display="mailto:letter.achternaam@gemeente.nl" xr:uid="{1B6002AF-D815-4999-B25E-78F8BBCD6D43}"/>
    <hyperlink ref="O2" r:id="rId2" display="mailto:letter.achternaam@gemeente.nl" xr:uid="{95346917-3E80-4EA3-A1B1-C4C7E6722FC6}"/>
    <hyperlink ref="P2" r:id="rId3" xr:uid="{66E98122-A82B-4238-940E-1F641D831B4C}"/>
    <hyperlink ref="U2" r:id="rId4" display="mailto:letter.achternaam@gemeente.nl" xr:uid="{46576A51-1928-42FD-8F76-9ACFEE814F94}"/>
  </hyperlinks>
  <pageMargins left="0.7" right="0.7" top="0.75" bottom="0.75" header="0.3" footer="0.3"/>
  <pageSetup paperSize="9" orientation="portrait" horizontalDpi="360" verticalDpi="36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127-42FF-46D7-A7BE-D6B327F344FD}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1198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434" xr:uid="{F31C3127-42FF-46D7-A7BE-D6B327F344FD}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8AFA-DED0-476A-AD3C-1E5843262B11}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 xr:uid="{D4C58AFA-DED0-476A-AD3C-1E5843262B11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8F3A-2307-4656-B058-576ECC862847}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98" xr:uid="{FE148F3A-2307-4656-B058-576ECC862847}">
    <sortState xmlns:xlrd2="http://schemas.microsoft.com/office/spreadsheetml/2017/richdata2" ref="A2:D98">
      <sortCondition ref="A1:A9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BD4B-87F1-492F-B21B-0961C7B7BBA9}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28" xr:uid="{5015BD4B-87F1-492F-B21B-0961C7B7BBA9}">
    <sortState xmlns:xlrd2="http://schemas.microsoft.com/office/spreadsheetml/2017/richdata2" ref="A2:A128">
      <sortCondition ref="A1:A128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2022-05-04T12:35:44Z</dcterms:created>
  <dcterms:modified xsi:type="dcterms:W3CDTF">2026-10-01T09:45:24Z</dcterms:modified>
  <cp:category/>
  <cp:contentStatus/>
</cp:coreProperties>
</file>